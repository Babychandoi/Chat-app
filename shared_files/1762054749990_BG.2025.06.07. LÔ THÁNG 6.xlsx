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135\Desktop\SA - Kỷ Nguyên\BG_Workflow\BG.TAGA\"/>
    </mc:Choice>
  </mc:AlternateContent>
  <xr:revisionPtr revIDLastSave="0" documentId="13_ncr:1_{3A094D26-DF50-4FAD-8D10-7C891B1BD779}" xr6:coauthVersionLast="47" xr6:coauthVersionMax="47" xr10:uidLastSave="{00000000-0000-0000-0000-000000000000}"/>
  <bookViews>
    <workbookView xWindow="-120" yWindow="-120" windowWidth="29040" windowHeight="15840" xr2:uid="{6D709DA2-46F8-431B-89AD-E4779449649E}"/>
  </bookViews>
  <sheets>
    <sheet name="BG" sheetId="1" r:id="rId1"/>
  </sheets>
  <definedNames>
    <definedName name="_xlnm._FilterDatabase" localSheetId="0" hidden="1">BG!$B$14:$H$191</definedName>
    <definedName name="_xlnm.Print_Area" localSheetId="0">BG!$A$1:$H$191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9" i="1" l="1"/>
  <c r="H70" i="1"/>
  <c r="G165" i="1" l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0" i="1"/>
  <c r="H149" i="1"/>
  <c r="H148" i="1"/>
  <c r="G146" i="1"/>
  <c r="G145" i="1"/>
  <c r="G144" i="1"/>
  <c r="G143" i="1"/>
  <c r="G142" i="1"/>
  <c r="G141" i="1"/>
  <c r="G140" i="1"/>
  <c r="G139" i="1"/>
  <c r="G138" i="1"/>
  <c r="G137" i="1"/>
  <c r="G136" i="1"/>
  <c r="G133" i="1"/>
  <c r="G132" i="1"/>
  <c r="G128" i="1"/>
  <c r="H127" i="1"/>
  <c r="G126" i="1"/>
  <c r="G125" i="1"/>
  <c r="G124" i="1"/>
  <c r="G123" i="1"/>
  <c r="G122" i="1"/>
  <c r="G121" i="1"/>
  <c r="G120" i="1"/>
  <c r="G119" i="1"/>
  <c r="G118" i="1"/>
  <c r="G117" i="1"/>
  <c r="G116" i="1"/>
  <c r="G113" i="1"/>
  <c r="H112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2" i="1"/>
  <c r="H91" i="1"/>
  <c r="G89" i="1"/>
  <c r="G88" i="1"/>
  <c r="G87" i="1"/>
  <c r="G86" i="1"/>
  <c r="G85" i="1"/>
  <c r="G84" i="1"/>
  <c r="G82" i="1"/>
  <c r="G81" i="1"/>
  <c r="G80" i="1"/>
  <c r="G79" i="1"/>
  <c r="G78" i="1"/>
  <c r="G77" i="1"/>
  <c r="G76" i="1"/>
  <c r="G75" i="1"/>
  <c r="G74" i="1"/>
  <c r="G71" i="1" l="1"/>
  <c r="G167" i="1" s="1"/>
  <c r="G67" i="1"/>
  <c r="G66" i="1"/>
  <c r="G65" i="1"/>
  <c r="G64" i="1"/>
  <c r="G63" i="1"/>
  <c r="G62" i="1"/>
  <c r="G61" i="1"/>
  <c r="G60" i="1"/>
  <c r="G59" i="1"/>
  <c r="G58" i="1"/>
  <c r="G57" i="1"/>
  <c r="G56" i="1"/>
  <c r="G53" i="1"/>
  <c r="G52" i="1"/>
  <c r="G48" i="1"/>
  <c r="H47" i="1"/>
  <c r="H46" i="1"/>
  <c r="G45" i="1"/>
  <c r="G44" i="1"/>
  <c r="G43" i="1"/>
  <c r="G42" i="1"/>
  <c r="H41" i="1"/>
  <c r="H40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2" i="1"/>
  <c r="G21" i="1"/>
  <c r="G17" i="1"/>
  <c r="H16" i="1"/>
  <c r="H15" i="1"/>
  <c r="C6" i="1" l="1"/>
  <c r="G169" i="1" l="1"/>
  <c r="G168" i="1"/>
</calcChain>
</file>

<file path=xl/sharedStrings.xml><?xml version="1.0" encoding="utf-8"?>
<sst xmlns="http://schemas.openxmlformats.org/spreadsheetml/2006/main" count="334" uniqueCount="104">
  <si>
    <t>BẢNG BÁO GIÁ/ SALES QUOTATION</t>
  </si>
  <si>
    <t xml:space="preserve">   Chúng tôi rất hân hạnh được gởi đến Quý Công ty bảng báo giá phân tích các chỉ tiêu như sau / 
   We would like to send you our sales quotation regarding analysis as follows:</t>
  </si>
  <si>
    <t>DANH MỤC CÁC CHỈ TIÊU VÀ BẢNG GIÁ CHI TIẾT
TEST LIST AND DETAILED PRICE</t>
  </si>
  <si>
    <r>
      <t xml:space="preserve">GHI CHÚ </t>
    </r>
    <r>
      <rPr>
        <b/>
        <i/>
        <sz val="14"/>
        <color rgb="FF002060"/>
        <rFont val="Times New Roman"/>
        <family val="1"/>
      </rPr>
      <t>Remarks</t>
    </r>
  </si>
  <si>
    <r>
      <t xml:space="preserve">1.       </t>
    </r>
    <r>
      <rPr>
        <sz val="14"/>
        <color rgb="FF002060"/>
        <rFont val="Times New Roman"/>
        <family val="1"/>
      </rPr>
      <t xml:space="preserve">Giá trên đã bao gồm  thuế GTGT 5% </t>
    </r>
    <r>
      <rPr>
        <i/>
        <sz val="14"/>
        <color rgb="FF002060"/>
        <rFont val="Times New Roman"/>
        <family val="1"/>
      </rPr>
      <t>Above prices are included 5% VAT.</t>
    </r>
  </si>
  <si>
    <r>
      <t xml:space="preserve">2.       </t>
    </r>
    <r>
      <rPr>
        <sz val="14"/>
        <color rgb="FF002060"/>
        <rFont val="Times New Roman"/>
        <family val="1"/>
      </rPr>
      <t xml:space="preserve">Hiệu lực báo giá trong vòng 30 ngày kể từ ngày báo giá/ </t>
    </r>
    <r>
      <rPr>
        <i/>
        <sz val="14"/>
        <color rgb="FF002060"/>
        <rFont val="Times New Roman"/>
        <family val="1"/>
      </rPr>
      <t>The Sales quotation is valid within 30 days since the date of quotation.</t>
    </r>
  </si>
  <si>
    <r>
      <t>3.</t>
    </r>
    <r>
      <rPr>
        <sz val="14"/>
        <color rgb="FF002060"/>
        <rFont val="Times New Roman"/>
        <family val="1"/>
      </rPr>
      <t>       Thời gian thanh toán/</t>
    </r>
    <r>
      <rPr>
        <i/>
        <sz val="14"/>
        <color rgb="FF002060"/>
        <rFont val="Times New Roman"/>
        <family val="1"/>
      </rPr>
      <t>Time of payment</t>
    </r>
    <r>
      <rPr>
        <sz val="14"/>
        <color rgb="FF002060"/>
        <rFont val="Times New Roman"/>
        <family val="1"/>
      </rPr>
      <t>: thương lượng</t>
    </r>
    <r>
      <rPr>
        <i/>
        <sz val="14"/>
        <color rgb="FF002060"/>
        <rFont val="Times New Roman"/>
        <family val="1"/>
      </rPr>
      <t>/negotiating</t>
    </r>
    <r>
      <rPr>
        <sz val="14"/>
        <color rgb="FF002060"/>
        <rFont val="Times New Roman"/>
        <family val="1"/>
      </rPr>
      <t>.</t>
    </r>
  </si>
  <si>
    <r>
      <t xml:space="preserve">4.       </t>
    </r>
    <r>
      <rPr>
        <sz val="14"/>
        <color rgb="FF002060"/>
        <rFont val="Times New Roman"/>
        <family val="1"/>
      </rPr>
      <t>Phương thức thanh toán/</t>
    </r>
    <r>
      <rPr>
        <i/>
        <sz val="14"/>
        <color rgb="FF002060"/>
        <rFont val="Times New Roman"/>
        <family val="1"/>
      </rPr>
      <t>Term of payment</t>
    </r>
    <r>
      <rPr>
        <sz val="14"/>
        <color rgb="FF002060"/>
        <rFont val="Times New Roman"/>
        <family val="1"/>
      </rPr>
      <t xml:space="preserve">: bằng chuyển khoản hoặc tiền mặt/ </t>
    </r>
    <r>
      <rPr>
        <i/>
        <sz val="14"/>
        <color rgb="FF002060"/>
        <rFont val="Times New Roman"/>
        <family val="1"/>
      </rPr>
      <t>by TT or cash.</t>
    </r>
  </si>
  <si>
    <r>
      <t>6.</t>
    </r>
    <r>
      <rPr>
        <sz val="14"/>
        <color rgb="FF002060"/>
        <rFont val="Times New Roman"/>
        <family val="1"/>
      </rPr>
      <t>       Thời gian nhận mẫu:  24/7, bao gồm thứ Bảy, Chủ nhật và ngày nghỉ.</t>
    </r>
  </si>
  <si>
    <t xml:space="preserve">          Receiving time of samples: 24/7, included Saturday, Sunday and other public holidays.</t>
  </si>
  <si>
    <r>
      <t>7.</t>
    </r>
    <r>
      <rPr>
        <sz val="14"/>
        <color rgb="FF002060"/>
        <rFont val="Times New Roman"/>
        <family val="1"/>
      </rPr>
      <t>       Nơi nhận mẫu: tại công ty của Quý khách hàng hoặc nơi đã được thỏa thuận trước.    </t>
    </r>
  </si>
  <si>
    <t xml:space="preserve">          Receiving place of samples: at your company or where has been agreed in advance.</t>
  </si>
  <si>
    <r>
      <t xml:space="preserve">8.       </t>
    </r>
    <r>
      <rPr>
        <sz val="14"/>
        <color rgb="FF002060"/>
        <rFont val="Times New Roman"/>
        <family val="1"/>
      </rPr>
      <t>Khác</t>
    </r>
    <r>
      <rPr>
        <i/>
        <sz val="14"/>
        <color rgb="FF002060"/>
        <rFont val="Times New Roman"/>
        <family val="1"/>
      </rPr>
      <t>/0thers</t>
    </r>
  </si>
  <si>
    <t>Chịu trách nhiệm báo giá / CONFIRM BY:</t>
  </si>
  <si>
    <t>Phê duyệt / Accept</t>
  </si>
  <si>
    <r>
      <t xml:space="preserve">STT
</t>
    </r>
    <r>
      <rPr>
        <b/>
        <i/>
        <sz val="13"/>
        <color theme="0"/>
        <rFont val="Times New Roman"/>
        <family val="1"/>
      </rPr>
      <t>No</t>
    </r>
  </si>
  <si>
    <r>
      <t xml:space="preserve">TÊN CHỈ TIÊU
</t>
    </r>
    <r>
      <rPr>
        <b/>
        <i/>
        <sz val="13"/>
        <color theme="0"/>
        <rFont val="Times New Roman"/>
        <family val="1"/>
      </rPr>
      <t>Parameter</t>
    </r>
  </si>
  <si>
    <r>
      <t xml:space="preserve">SỐ LƯỢNG
</t>
    </r>
    <r>
      <rPr>
        <b/>
        <i/>
        <sz val="13"/>
        <color theme="0"/>
        <rFont val="Times New Roman"/>
        <family val="1"/>
      </rPr>
      <t>Quality</t>
    </r>
  </si>
  <si>
    <r>
      <t xml:space="preserve">GHI CHÚ </t>
    </r>
    <r>
      <rPr>
        <b/>
        <i/>
        <sz val="13"/>
        <color theme="0"/>
        <rFont val="Times New Roman"/>
        <family val="1"/>
      </rPr>
      <t>Remarks</t>
    </r>
  </si>
  <si>
    <r>
      <t xml:space="preserve">THÀNH TIỀN (BAO GỒM 5% VAT)
</t>
    </r>
    <r>
      <rPr>
        <b/>
        <i/>
        <sz val="13"/>
        <color theme="0"/>
        <rFont val="Times New Roman"/>
        <family val="1"/>
      </rPr>
      <t>TOTAL (INCLUDED 5% VAT)</t>
    </r>
  </si>
  <si>
    <t>P. Giám đốc điều hành</t>
  </si>
  <si>
    <t>TRẦN HOÀNG VINH</t>
  </si>
  <si>
    <r>
      <t xml:space="preserve">THỜI GIAN
</t>
    </r>
    <r>
      <rPr>
        <b/>
        <i/>
        <sz val="13"/>
        <color theme="0"/>
        <rFont val="Times New Roman"/>
        <family val="1"/>
      </rPr>
      <t>Test turnaround time</t>
    </r>
    <r>
      <rPr>
        <b/>
        <sz val="13"/>
        <color theme="0"/>
        <rFont val="Times New Roman"/>
        <family val="1"/>
      </rPr>
      <t xml:space="preserve"> (Days)</t>
    </r>
  </si>
  <si>
    <r>
      <t xml:space="preserve">GIÁ
</t>
    </r>
    <r>
      <rPr>
        <b/>
        <i/>
        <sz val="13"/>
        <color theme="0"/>
        <rFont val="Times New Roman"/>
        <family val="1"/>
      </rPr>
      <t>Price</t>
    </r>
    <r>
      <rPr>
        <b/>
        <sz val="13"/>
        <color theme="0"/>
        <rFont val="Times New Roman"/>
        <family val="1"/>
      </rPr>
      <t xml:space="preserve">
(VNĐ)</t>
    </r>
  </si>
  <si>
    <r>
      <t xml:space="preserve">THÀNH TIỀN </t>
    </r>
    <r>
      <rPr>
        <b/>
        <i/>
        <sz val="13"/>
        <color theme="0"/>
        <rFont val="Times New Roman"/>
        <family val="1"/>
      </rPr>
      <t>Total (VNĐ)</t>
    </r>
  </si>
  <si>
    <t xml:space="preserve">Số/ No. : </t>
  </si>
  <si>
    <t>Ngày/Date:</t>
  </si>
  <si>
    <r>
      <t>Kính gửi / Dear</t>
    </r>
    <r>
      <rPr>
        <b/>
        <i/>
        <sz val="18"/>
        <color rgb="FF002060"/>
        <rFont val="Times New Roman"/>
        <family val="1"/>
      </rPr>
      <t xml:space="preserve">:  QUÝ KHÁCH HÀNG </t>
    </r>
  </si>
  <si>
    <t>Chuyên viên Sales Admin</t>
  </si>
  <si>
    <r>
      <rPr>
        <b/>
        <sz val="13"/>
        <color rgb="FFC00000"/>
        <rFont val="Times New Roman"/>
        <family val="1"/>
      </rPr>
      <t xml:space="preserve">Thông tin đơn vị thụ hưởng: </t>
    </r>
    <r>
      <rPr>
        <sz val="13"/>
        <color rgb="FFC00000"/>
        <rFont val="Times New Roman"/>
        <family val="1"/>
      </rPr>
      <t xml:space="preserve">
Đơn vị bán hàng (Company name):   CÔNG TY CỔ PHẦN KHOA HỌC CÔNG NGHỆ AVATEK
Mã số thuế (Tax code):                    0317692663
Địa chỉ (Address):                           Số 66/122 đường Bình Thành, Phường Bình Hưng Hoà B, Quận Bình Tân, TP. Hồ Chí Minh
Số tài khoản (Bank account No.):     1035406242 - Ngân hàng Vietcombank - Chi Nhánh Bắc Sài Gòn
Nội dung (Details):                           Thanh toán theo số hóa đơn.../ số phiếu kiểm nghiệm.../số hợp đồng.../mã khách hàng             </t>
    </r>
  </si>
  <si>
    <r>
      <t>5.</t>
    </r>
    <r>
      <rPr>
        <sz val="14"/>
        <color rgb="FF002060"/>
        <rFont val="Times New Roman"/>
        <family val="1"/>
      </rPr>
      <t>       Trọng lượng mẫu yêu cầu/</t>
    </r>
    <r>
      <rPr>
        <i/>
        <sz val="14"/>
        <color rgb="FF002060"/>
        <rFont val="Times New Roman"/>
        <family val="1"/>
      </rPr>
      <t xml:space="preserve"> Required weight of sample: 200g - 300g (tùy theo yêu cầu phân tích)</t>
    </r>
  </si>
  <si>
    <t>PHẠM TÂN KỶ NGUYÊN</t>
  </si>
  <si>
    <t>SĐT / Zalo:  0834 961 468</t>
  </si>
  <si>
    <t>Email: nguyen.pham@avateklab.vn</t>
  </si>
  <si>
    <r>
      <t xml:space="preserve">TỔNG CỘNG </t>
    </r>
    <r>
      <rPr>
        <b/>
        <i/>
        <sz val="13"/>
        <color theme="0"/>
        <rFont val="Times New Roman"/>
        <family val="1"/>
      </rPr>
      <t>(Amount)</t>
    </r>
  </si>
  <si>
    <t>VAT 5%</t>
  </si>
  <si>
    <t>01.KN</t>
  </si>
  <si>
    <t>YẾN CHƯNG ĐƯỜNG PHÈN</t>
  </si>
  <si>
    <t>YẾN CHƯNG MIX VỊ</t>
  </si>
  <si>
    <t>Hàm lượng protein</t>
  </si>
  <si>
    <t xml:space="preserve">Hàm lượng carbohydrate tổng      </t>
  </si>
  <si>
    <t>Năng lượng</t>
  </si>
  <si>
    <t>Chất béo</t>
  </si>
  <si>
    <t>Natri</t>
  </si>
  <si>
    <t>Màu sắc/ Colour</t>
  </si>
  <si>
    <t>Mùi, vị/ Odor, Taste</t>
  </si>
  <si>
    <t>Trạng thái</t>
  </si>
  <si>
    <t xml:space="preserve">Độ ẩm (Moisture)        </t>
  </si>
  <si>
    <t xml:space="preserve">pH        </t>
  </si>
  <si>
    <t>Chì (Pb)</t>
  </si>
  <si>
    <t>Cadimi (Cd)</t>
  </si>
  <si>
    <t>Thủy ngân (Hg)</t>
  </si>
  <si>
    <t>Asen (As)</t>
  </si>
  <si>
    <t xml:space="preserve">Tổng số vi sinh vật hiếu khí        </t>
  </si>
  <si>
    <t xml:space="preserve">Coliform        </t>
  </si>
  <si>
    <t xml:space="preserve">E. coli        </t>
  </si>
  <si>
    <t xml:space="preserve">Salmonella        </t>
  </si>
  <si>
    <t xml:space="preserve">Clostridium perfringens        </t>
  </si>
  <si>
    <t xml:space="preserve">Staphylococcus aureus        </t>
  </si>
  <si>
    <t xml:space="preserve">Nấm men, nấm mốc </t>
  </si>
  <si>
    <t>Aflatoxin B1</t>
  </si>
  <si>
    <t xml:space="preserve"> Aflatoxin Tổng</t>
  </si>
  <si>
    <t>NƯỚC RỬA CHÉN HORECA</t>
  </si>
  <si>
    <t>NƯỚC GIẶT XẢ HORECA</t>
  </si>
  <si>
    <t>Cảm quan</t>
  </si>
  <si>
    <t>Chất không tan trong nước</t>
  </si>
  <si>
    <t>Chất hoạt động bề mặt</t>
  </si>
  <si>
    <t>BÁNH ĐA ĐÔ LƯƠNG</t>
  </si>
  <si>
    <t>BÁNH ĐA NEM</t>
  </si>
  <si>
    <t xml:space="preserve">Hàm lượng tro toàn phần     </t>
  </si>
  <si>
    <t>TRÀ PHỔ NHĨ LÁ RỜI</t>
  </si>
  <si>
    <t>BÁNH TRÀ PHỔ NHĨ</t>
  </si>
  <si>
    <t xml:space="preserve">Hàm lượng tanin        </t>
  </si>
  <si>
    <t xml:space="preserve">Caffeine     </t>
  </si>
  <si>
    <t xml:space="preserve">Tro không tan trong acid   </t>
  </si>
  <si>
    <t>TRÀ SỮA SHAN TUYẾT</t>
  </si>
  <si>
    <t>Hàm lượng Protein</t>
  </si>
  <si>
    <t>Hàm lượng chất béo</t>
  </si>
  <si>
    <t xml:space="preserve">Tổng chất rắn hòa tan </t>
  </si>
  <si>
    <t>Hàm lượng caffein</t>
  </si>
  <si>
    <t xml:space="preserve">Natri benzoat        </t>
  </si>
  <si>
    <t xml:space="preserve">Kali sorbat        </t>
  </si>
  <si>
    <t>RƯỢU SHANBUCHA</t>
  </si>
  <si>
    <t xml:space="preserve">Hàm lượng ethanol (EtOH)        </t>
  </si>
  <si>
    <t xml:space="preserve">Hàm lượng methanol (MeOH)        </t>
  </si>
  <si>
    <t xml:space="preserve">Aldehyd </t>
  </si>
  <si>
    <t xml:space="preserve">Furfural        </t>
  </si>
  <si>
    <t xml:space="preserve">Hàm lượng tạp chất bay hơi khác        </t>
  </si>
  <si>
    <t xml:space="preserve">Hàm lượng axit hữu cơ </t>
  </si>
  <si>
    <t>BÁNH TAM GIÁC MẠCH</t>
  </si>
  <si>
    <t>Đường tổng</t>
  </si>
  <si>
    <t>CÀ PHÊ HẠT</t>
  </si>
  <si>
    <t>CÀ PHÊ RANG XAY</t>
  </si>
  <si>
    <t>Tạp chất</t>
  </si>
  <si>
    <t xml:space="preserve">Cafein (caffeine)        </t>
  </si>
  <si>
    <t xml:space="preserve">Tro không tan trong acid        </t>
  </si>
  <si>
    <t xml:space="preserve">Chất chiết trong nước (tổng chất hòa tan) </t>
  </si>
  <si>
    <t>10 - 15</t>
  </si>
  <si>
    <t>EM XIN CHẤT CỤ THỂ</t>
  </si>
  <si>
    <t xml:space="preserve">Hàm lượng este tổng số  </t>
  </si>
  <si>
    <t>Ethyl acetate (*)/ Ethyl acetate (*)</t>
  </si>
  <si>
    <t>CHẤT BẢO QUẢN</t>
  </si>
  <si>
    <t>Dư lượng thuốc BVTV</t>
  </si>
  <si>
    <t>HỌ CỤ THỂ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</si>
</sst>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2" tint="-0.89999084444715716"/>
      <name val="Times New Roman"/>
      <family val="1"/>
    </font>
    <font>
      <b/>
      <i/>
      <sz val="12"/>
      <color theme="2" tint="-0.89999084444715716"/>
      <name val="Times New Roman"/>
      <family val="1"/>
    </font>
    <font>
      <sz val="11"/>
      <color theme="1"/>
      <name val="Times New Roman"/>
      <family val="1"/>
    </font>
    <font>
      <b/>
      <sz val="26"/>
      <color rgb="FF002060"/>
      <name val="Times New Roman"/>
      <family val="1"/>
    </font>
    <font>
      <b/>
      <sz val="14"/>
      <color rgb="FF002060"/>
      <name val="Times New Roman"/>
      <family val="1"/>
    </font>
    <font>
      <sz val="12"/>
      <color rgb="FF002060"/>
      <name val="Times New Roman"/>
      <family val="1"/>
    </font>
    <font>
      <b/>
      <i/>
      <u/>
      <sz val="12"/>
      <color rgb="FF002060"/>
      <name val="Times New Roman"/>
      <family val="1"/>
    </font>
    <font>
      <b/>
      <i/>
      <sz val="12"/>
      <color rgb="FF002060"/>
      <name val="Times New Roman"/>
      <family val="1"/>
    </font>
    <font>
      <b/>
      <i/>
      <u/>
      <sz val="18"/>
      <color rgb="FF002060"/>
      <name val="Times New Roman"/>
      <family val="1"/>
    </font>
    <font>
      <b/>
      <i/>
      <sz val="18"/>
      <color rgb="FF002060"/>
      <name val="Times New Roman"/>
      <family val="1"/>
    </font>
    <font>
      <b/>
      <sz val="18"/>
      <color rgb="FF002060"/>
      <name val="Times New Roman"/>
      <family val="1"/>
    </font>
    <font>
      <sz val="14"/>
      <color rgb="FF002060"/>
      <name val="Times New Roman"/>
      <family val="1"/>
    </font>
    <font>
      <sz val="12"/>
      <name val="Times New Roman"/>
      <family val="1"/>
    </font>
    <font>
      <i/>
      <sz val="14"/>
      <color rgb="FF002060"/>
      <name val="Times New Roman"/>
      <family val="1"/>
    </font>
    <font>
      <i/>
      <sz val="12"/>
      <name val="Times New Roman"/>
      <family val="1"/>
    </font>
    <font>
      <b/>
      <sz val="16"/>
      <color rgb="FF002060"/>
      <name val="Times New Roman"/>
      <family val="1"/>
    </font>
    <font>
      <sz val="10"/>
      <color theme="1"/>
      <name val="Times New Roman"/>
      <family val="1"/>
    </font>
    <font>
      <sz val="14"/>
      <color theme="1"/>
      <name val="Times New Roman"/>
      <family val="1"/>
    </font>
    <font>
      <b/>
      <i/>
      <sz val="14"/>
      <color rgb="FF002060"/>
      <name val="Times New Roman"/>
      <family val="1"/>
    </font>
    <font>
      <i/>
      <sz val="14"/>
      <color theme="1"/>
      <name val="Times New Roman"/>
      <family val="1"/>
    </font>
    <font>
      <sz val="13"/>
      <color rgb="FFC00000"/>
      <name val="Times New Roman"/>
      <family val="1"/>
    </font>
    <font>
      <b/>
      <sz val="13"/>
      <color rgb="FFC00000"/>
      <name val="Times New Roman"/>
      <family val="1"/>
    </font>
    <font>
      <b/>
      <u/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3"/>
      <color theme="0"/>
      <name val="Times New Roman"/>
      <family val="1"/>
    </font>
    <font>
      <b/>
      <i/>
      <sz val="13"/>
      <color theme="0"/>
      <name val="Times New Roman"/>
      <family val="1"/>
    </font>
    <font>
      <b/>
      <sz val="13"/>
      <color rgb="FF006100"/>
      <name val="Times New Roman"/>
      <family val="1"/>
    </font>
    <font>
      <sz val="13"/>
      <color rgb="FF006100"/>
      <name val="Times New Roman"/>
      <family val="1"/>
    </font>
    <font>
      <sz val="13"/>
      <color theme="4" tint="-0.499984740745262"/>
      <name val="Times New Roman"/>
      <family val="1"/>
    </font>
    <font>
      <b/>
      <sz val="12"/>
      <color rgb="FF002060"/>
      <name val="Times New Roman"/>
      <family val="1"/>
    </font>
    <font>
      <sz val="13"/>
      <color rgb="FFFF0000"/>
      <name val="Times New Roman"/>
      <family val="1"/>
    </font>
    <font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0" borderId="0">
      <alignment vertical="center" wrapText="1"/>
    </xf>
  </cellStyleXfs>
  <cellXfs count="75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6" fillId="0" borderId="0" xfId="2" applyFont="1" applyAlignment="1">
      <alignment vertical="center"/>
    </xf>
    <xf numFmtId="0" fontId="5" fillId="0" borderId="0" xfId="0" applyFont="1" applyAlignment="1">
      <alignment horizontal="left" vertical="center" wrapText="1"/>
    </xf>
    <xf numFmtId="14" fontId="7" fillId="0" borderId="0" xfId="2" applyNumberFormat="1" applyFont="1" applyAlignment="1">
      <alignment vertical="center"/>
    </xf>
    <xf numFmtId="0" fontId="8" fillId="0" borderId="0" xfId="0" applyFont="1" applyAlignment="1">
      <alignment horizontal="left" vertical="center" wrapText="1" indent="1"/>
    </xf>
    <xf numFmtId="0" fontId="10" fillId="0" borderId="0" xfId="2" applyFont="1" applyAlignment="1">
      <alignment vertical="top"/>
    </xf>
    <xf numFmtId="49" fontId="10" fillId="0" borderId="0" xfId="2" applyNumberFormat="1" applyFont="1" applyAlignment="1">
      <alignment horizontal="left" vertical="center"/>
    </xf>
    <xf numFmtId="0" fontId="11" fillId="0" borderId="0" xfId="0" applyFont="1" applyAlignment="1">
      <alignment horizontal="left" vertical="center" wrapText="1" indent="1"/>
    </xf>
    <xf numFmtId="0" fontId="11" fillId="0" borderId="0" xfId="0" applyFont="1" applyAlignment="1">
      <alignment horizontal="left" vertical="center" wrapText="1"/>
    </xf>
    <xf numFmtId="0" fontId="12" fillId="0" borderId="0" xfId="2" applyFont="1" applyAlignment="1">
      <alignment vertical="top"/>
    </xf>
    <xf numFmtId="0" fontId="14" fillId="0" borderId="0" xfId="2" applyFont="1" applyAlignment="1">
      <alignment horizontal="left" vertical="top"/>
    </xf>
    <xf numFmtId="0" fontId="18" fillId="0" borderId="0" xfId="2" applyFont="1" applyAlignment="1">
      <alignment horizontal="left" vertical="center" wrapText="1"/>
    </xf>
    <xf numFmtId="0" fontId="18" fillId="0" borderId="0" xfId="2" applyFont="1" applyAlignment="1">
      <alignment vertical="center" wrapText="1"/>
    </xf>
    <xf numFmtId="0" fontId="20" fillId="0" borderId="0" xfId="5" applyFont="1" applyAlignment="1">
      <alignment horizontal="left" wrapText="1"/>
    </xf>
    <xf numFmtId="0" fontId="21" fillId="0" borderId="0" xfId="0" applyFont="1" applyAlignment="1">
      <alignment vertical="center" wrapText="1"/>
    </xf>
    <xf numFmtId="0" fontId="8" fillId="0" borderId="0" xfId="0" applyFont="1"/>
    <xf numFmtId="0" fontId="22" fillId="0" borderId="0" xfId="0" applyFont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/>
    </xf>
    <xf numFmtId="0" fontId="19" fillId="5" borderId="0" xfId="0" applyFont="1" applyFill="1" applyAlignment="1">
      <alignment horizontal="left" vertical="center"/>
    </xf>
    <xf numFmtId="0" fontId="25" fillId="0" borderId="0" xfId="0" applyFont="1" applyAlignment="1">
      <alignment vertic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10" fillId="0" borderId="0" xfId="0" applyFont="1"/>
    <xf numFmtId="0" fontId="17" fillId="0" borderId="0" xfId="0" applyFont="1"/>
    <xf numFmtId="0" fontId="10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33" fillId="4" borderId="1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6" fillId="6" borderId="1" xfId="3" applyFont="1" applyFill="1" applyBorder="1" applyAlignment="1">
      <alignment horizontal="center" vertical="center"/>
    </xf>
    <xf numFmtId="164" fontId="36" fillId="6" borderId="1" xfId="3" applyNumberFormat="1" applyFont="1" applyFill="1" applyBorder="1" applyAlignment="1">
      <alignment horizontal="center" vertical="center"/>
    </xf>
    <xf numFmtId="164" fontId="33" fillId="4" borderId="1" xfId="4" applyNumberFormat="1" applyFont="1" applyFill="1" applyBorder="1" applyAlignment="1">
      <alignment horizontal="center" vertical="center"/>
    </xf>
    <xf numFmtId="0" fontId="33" fillId="4" borderId="1" xfId="4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7" fillId="0" borderId="1" xfId="1" applyNumberFormat="1" applyFont="1" applyFill="1" applyBorder="1" applyAlignment="1">
      <alignment horizontal="center" vertical="center"/>
    </xf>
    <xf numFmtId="0" fontId="17" fillId="0" borderId="0" xfId="2" applyFont="1" applyAlignment="1">
      <alignment vertical="center" wrapText="1"/>
    </xf>
    <xf numFmtId="0" fontId="38" fillId="0" borderId="0" xfId="2" applyFont="1" applyAlignment="1">
      <alignment vertical="top"/>
    </xf>
    <xf numFmtId="0" fontId="35" fillId="6" borderId="4" xfId="3" applyFont="1" applyFill="1" applyBorder="1" applyAlignment="1">
      <alignment vertical="center" wrapText="1"/>
    </xf>
    <xf numFmtId="0" fontId="35" fillId="6" borderId="3" xfId="3" applyFont="1" applyFill="1" applyBorder="1" applyAlignment="1">
      <alignment vertical="center" wrapText="1"/>
    </xf>
    <xf numFmtId="165" fontId="37" fillId="0" borderId="1" xfId="0" applyNumberFormat="1" applyFont="1" applyBorder="1" applyAlignment="1">
      <alignment vertical="center"/>
    </xf>
    <xf numFmtId="14" fontId="13" fillId="0" borderId="0" xfId="2" applyNumberFormat="1" applyFont="1" applyAlignment="1">
      <alignment vertical="center"/>
    </xf>
    <xf numFmtId="14" fontId="38" fillId="0" borderId="0" xfId="2" applyNumberFormat="1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9" fillId="0" borderId="0" xfId="2" applyFont="1" applyAlignment="1">
      <alignment horizontal="center" vertical="center" wrapText="1"/>
    </xf>
    <xf numFmtId="0" fontId="19" fillId="0" borderId="0" xfId="5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49" fontId="33" fillId="4" borderId="2" xfId="4" applyNumberFormat="1" applyFont="1" applyFill="1" applyBorder="1" applyAlignment="1">
      <alignment horizontal="center" vertical="center" wrapText="1"/>
    </xf>
    <xf numFmtId="49" fontId="33" fillId="4" borderId="4" xfId="4" applyNumberFormat="1" applyFont="1" applyFill="1" applyBorder="1" applyAlignment="1">
      <alignment horizontal="center" vertical="center"/>
    </xf>
    <xf numFmtId="49" fontId="33" fillId="4" borderId="3" xfId="4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35" fillId="6" borderId="4" xfId="3" quotePrefix="1" applyFont="1" applyFill="1" applyBorder="1" applyAlignment="1">
      <alignment vertical="center"/>
    </xf>
    <xf numFmtId="49" fontId="37" fillId="0" borderId="1" xfId="1" quotePrefix="1" applyNumberFormat="1" applyFont="1" applyFill="1" applyBorder="1" applyAlignment="1">
      <alignment horizontal="center" vertical="center"/>
    </xf>
    <xf numFmtId="165" fontId="37" fillId="0" borderId="5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vertical="center" wrapText="1"/>
    </xf>
    <xf numFmtId="165" fontId="37" fillId="0" borderId="6" xfId="0" applyNumberFormat="1" applyFont="1" applyBorder="1" applyAlignment="1">
      <alignment horizontal="center" vertical="center"/>
    </xf>
    <xf numFmtId="165" fontId="37" fillId="0" borderId="1" xfId="0" applyNumberFormat="1" applyFont="1" applyBorder="1" applyAlignment="1">
      <alignment vertical="center" wrapText="1"/>
    </xf>
    <xf numFmtId="165" fontId="37" fillId="0" borderId="7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165" fontId="39" fillId="0" borderId="1" xfId="0" applyNumberFormat="1" applyFont="1" applyBorder="1" applyAlignment="1">
      <alignment vertical="center"/>
    </xf>
    <xf numFmtId="165" fontId="39" fillId="0" borderId="1" xfId="0" applyNumberFormat="1" applyFont="1" applyBorder="1" applyAlignment="1">
      <alignment vertical="center" wrapText="1"/>
    </xf>
    <xf numFmtId="0" fontId="39" fillId="0" borderId="1" xfId="0" applyFont="1" applyBorder="1" applyAlignment="1">
      <alignment horizontal="center" vertical="center"/>
    </xf>
    <xf numFmtId="49" fontId="39" fillId="0" borderId="1" xfId="1" quotePrefix="1" applyNumberFormat="1" applyFont="1" applyFill="1" applyBorder="1" applyAlignment="1">
      <alignment horizontal="center" vertical="center"/>
    </xf>
    <xf numFmtId="0" fontId="39" fillId="0" borderId="1" xfId="1" applyNumberFormat="1" applyFont="1" applyFill="1" applyBorder="1" applyAlignment="1">
      <alignment horizontal="center" vertical="center"/>
    </xf>
    <xf numFmtId="0" fontId="39" fillId="0" borderId="1" xfId="0" applyFont="1" applyBorder="1" applyAlignment="1">
      <alignment vertical="center" wrapText="1"/>
    </xf>
    <xf numFmtId="0" fontId="40" fillId="0" borderId="0" xfId="0" applyFont="1"/>
  </cellXfs>
  <cellStyles count="6">
    <cellStyle name="60% - Accent2" xfId="4" builtinId="36"/>
    <cellStyle name="Comma" xfId="1" builtinId="3"/>
    <cellStyle name="Good" xfId="3" builtinId="26"/>
    <cellStyle name="Normal" xfId="0" builtinId="0"/>
    <cellStyle name="Title" xfId="2" builtinId="15"/>
    <cellStyle name="z Hidden Text" xfId="5" xr:uid="{8B8F58E3-7C06-41F7-8046-A4E689187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739587</xdr:colOff>
      <xdr:row>0</xdr:row>
      <xdr:rowOff>117801</xdr:rowOff>
    </xdr:from>
    <xdr:to>
      <xdr:col>6</xdr:col>
      <xdr:colOff>732116</xdr:colOff>
      <xdr:row>2</xdr:row>
      <xdr:rowOff>156882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D57DF0-909D-40B1-B4EE-D4B3DDC7A8A6}"/>
            </a:ext>
          </a:extLst>
        </xdr:cNvPr>
        <xdr:cNvSpPr txBox="1"/>
      </xdr:nvSpPr>
      <xdr:spPr>
        <a:xfrm>
          <a:off x="1882587" y="117801"/>
          <a:ext cx="6545729" cy="1334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vi-VN" sz="1400" b="1" i="1">
              <a:solidFill>
                <a:srgbClr val="C0000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CÔNG TY CỔ PHẦN KHOA HỌC CÔNG NGHỆ AVATEK</a:t>
          </a:r>
        </a:p>
        <a:p>
          <a:pPr algn="ctr"/>
          <a:r>
            <a:rPr lang="vi-VN" sz="1400" b="1" i="1">
              <a:solidFill>
                <a:srgbClr val="C0000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AVATEK SCIENCE TECHNOLOGY JSC</a:t>
          </a:r>
          <a:endParaRPr lang="en-US" sz="1400" b="1" i="1">
            <a:solidFill>
              <a:srgbClr val="C00000"/>
            </a:solidFill>
            <a:effectLst/>
            <a:latin typeface="+mj-lt"/>
            <a:ea typeface="+mn-ea"/>
            <a:cs typeface="Calibri" panose="020F0502020204030204" pitchFamily="34" charset="0"/>
          </a:endParaRPr>
        </a:p>
        <a:p>
          <a:pPr algn="ctr"/>
          <a:endParaRPr lang="en-US" sz="1400" b="1" i="1">
            <a:solidFill>
              <a:srgbClr val="C00000"/>
            </a:solidFill>
            <a:effectLst/>
            <a:latin typeface="+mj-lt"/>
            <a:ea typeface="+mn-ea"/>
            <a:cs typeface="Calibri" panose="020F0502020204030204" pitchFamily="34" charset="0"/>
          </a:endParaRPr>
        </a:p>
        <a:p>
          <a:pPr algn="ctr"/>
          <a:r>
            <a:rPr lang="vi-VN" sz="1200" b="0" i="1">
              <a:solidFill>
                <a:srgbClr val="00206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Số 66/122 đường Bình Thành, Phường Bình Hưng Hoà B, Quận Bình Tân, TP. Hồ Chí Minh.</a:t>
          </a:r>
        </a:p>
        <a:p>
          <a:pPr algn="ctr"/>
          <a:r>
            <a:rPr lang="vi-VN" sz="1200" b="0" i="1">
              <a:solidFill>
                <a:srgbClr val="00206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No. 66/122 Binh Thanh Street, Binh Hung Hoa B Ward, Binh Tan District, Ho Chi Minh City.</a:t>
          </a:r>
        </a:p>
      </xdr:txBody>
    </xdr:sp>
    <xdr:clientData/>
  </xdr:twoCellAnchor>
  <xdr:twoCellAnchor>
    <xdr:from>
      <xdr:col>1</xdr:col>
      <xdr:colOff>33619</xdr:colOff>
      <xdr:row>0</xdr:row>
      <xdr:rowOff>134471</xdr:rowOff>
    </xdr:from>
    <xdr:to>
      <xdr:col>2</xdr:col>
      <xdr:colOff>983089</xdr:colOff>
      <xdr:row>2</xdr:row>
      <xdr:rowOff>268942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559C8A4-56B8-4FCC-A391-C78982E76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7" y="134471"/>
          <a:ext cx="1924382" cy="1423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582706</xdr:colOff>
      <xdr:row>0</xdr:row>
      <xdr:rowOff>145677</xdr:rowOff>
    </xdr:from>
    <xdr:to>
      <xdr:col>7</xdr:col>
      <xdr:colOff>1322294</xdr:colOff>
      <xdr:row>3</xdr:row>
      <xdr:rowOff>66707</xdr:rowOff>
    </xdr:to>
    <xdr:pic>
      <xdr:nvPicPr>
        <xdr:cNvPr id="6" name="Picture 8">
          <a:extLst>
            <a:ext uri="{FF2B5EF4-FFF2-40B4-BE49-F238E27FC236}">
              <a16:creationId xmlns:a16="http://schemas.microsoft.com/office/drawing/2014/main" id="{5904D6B2-E649-4DBB-AB6F-752B6260A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1147" y="145677"/>
          <a:ext cx="1770529" cy="1624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A845-1C4D-4FF9-B626-89BACF04EC9C}">
  <sheetPr>
    <pageSetUpPr fitToPage="1"/>
  </sheetPr>
  <dimension ref="A1:I191"/>
  <sheetViews>
    <sheetView showGridLines="0" tabSelected="1" view="pageBreakPreview" topLeftCell="A131" zoomScale="85" zoomScaleNormal="85" zoomScaleSheetLayoutView="85" zoomScalePageLayoutView="85" workbookViewId="0">
      <selection activeCell="H174" sqref="H174"/>
    </sheetView>
  </sheetViews>
  <sheetFormatPr defaultColWidth="8.5703125" defaultRowHeight="15" x14ac:dyDescent="0.25"/>
  <cols>
    <col min="1" max="1" width="2.5703125" style="16" customWidth="1"/>
    <col min="2" max="2" width="14.5703125" style="16" customWidth="1"/>
    <col min="3" max="3" width="49.85546875" style="16" customWidth="1"/>
    <col min="4" max="4" width="19.85546875" style="16" customWidth="1"/>
    <col min="5" max="5" width="15.140625" style="16" customWidth="1"/>
    <col min="6" max="6" width="13.42578125" style="30" bestFit="1" customWidth="1"/>
    <col min="7" max="7" width="15.42578125" style="16" customWidth="1"/>
    <col min="8" max="8" width="28.5703125" style="16" customWidth="1"/>
    <col min="9" max="11" width="8.5703125" style="16"/>
    <col min="12" max="12" width="10.5703125" style="16" bestFit="1" customWidth="1"/>
    <col min="13" max="13" width="8.5703125" style="16"/>
    <col min="14" max="14" width="8.140625" style="16" customWidth="1"/>
    <col min="15" max="16384" width="8.5703125" style="16"/>
  </cols>
  <sheetData>
    <row r="1" spans="1:9" s="1" customFormat="1" ht="69" customHeight="1" x14ac:dyDescent="0.25">
      <c r="C1" s="2"/>
      <c r="F1" s="3"/>
    </row>
    <row r="2" spans="1:9" s="1" customFormat="1" ht="33" customHeight="1" x14ac:dyDescent="0.25">
      <c r="C2" s="4"/>
      <c r="F2" s="3"/>
    </row>
    <row r="3" spans="1:9" s="1" customFormat="1" ht="33" customHeight="1" x14ac:dyDescent="0.25">
      <c r="C3" s="2"/>
      <c r="F3" s="3"/>
    </row>
    <row r="4" spans="1:9" s="5" customFormat="1" ht="56.45" customHeight="1" x14ac:dyDescent="0.25">
      <c r="B4" s="53" t="s">
        <v>0</v>
      </c>
      <c r="C4" s="53"/>
      <c r="D4" s="53"/>
      <c r="E4" s="53"/>
      <c r="F4" s="53"/>
      <c r="G4" s="53"/>
      <c r="H4" s="53"/>
    </row>
    <row r="5" spans="1:9" s="1" customFormat="1" ht="21.6" customHeight="1" x14ac:dyDescent="0.25">
      <c r="B5" s="6" t="s">
        <v>25</v>
      </c>
      <c r="C5" s="7" t="s">
        <v>36</v>
      </c>
      <c r="D5" s="8"/>
      <c r="E5" s="8"/>
      <c r="F5" s="9"/>
      <c r="G5" s="8"/>
    </row>
    <row r="6" spans="1:9" s="1" customFormat="1" ht="21.6" customHeight="1" x14ac:dyDescent="0.25">
      <c r="B6" s="6" t="s">
        <v>26</v>
      </c>
      <c r="C6" s="50">
        <f ca="1">TODAY()</f>
        <v>45815</v>
      </c>
      <c r="D6" s="8"/>
      <c r="E6" s="8"/>
      <c r="F6" s="9"/>
      <c r="G6" s="8"/>
    </row>
    <row r="7" spans="1:9" s="1" customFormat="1" ht="15" customHeight="1" x14ac:dyDescent="0.25">
      <c r="B7" s="10"/>
      <c r="C7" s="49"/>
      <c r="D7" s="8"/>
      <c r="E7" s="8"/>
      <c r="F7" s="9"/>
      <c r="G7" s="8"/>
    </row>
    <row r="8" spans="1:9" s="1" customFormat="1" ht="24.6" customHeight="1" x14ac:dyDescent="0.25">
      <c r="B8" s="11" t="s">
        <v>27</v>
      </c>
      <c r="C8" s="11"/>
      <c r="D8" s="11"/>
      <c r="E8" s="11"/>
      <c r="F8" s="9"/>
      <c r="G8" s="9"/>
    </row>
    <row r="9" spans="1:9" s="1" customFormat="1" ht="26.45" customHeight="1" x14ac:dyDescent="0.25">
      <c r="B9" s="45"/>
      <c r="C9" s="44"/>
      <c r="D9" s="44"/>
      <c r="E9" s="44"/>
      <c r="F9" s="44"/>
      <c r="G9" s="44"/>
      <c r="H9" s="12"/>
      <c r="I9" s="13"/>
    </row>
    <row r="10" spans="1:9" s="1" customFormat="1" ht="56.45" customHeight="1" x14ac:dyDescent="0.25">
      <c r="B10" s="54" t="s">
        <v>1</v>
      </c>
      <c r="C10" s="54"/>
      <c r="D10" s="54"/>
      <c r="E10" s="54"/>
      <c r="F10" s="54"/>
      <c r="G10" s="54"/>
      <c r="H10" s="14"/>
    </row>
    <row r="12" spans="1:9" ht="44.45" customHeight="1" x14ac:dyDescent="0.25">
      <c r="A12" s="15"/>
      <c r="B12" s="55" t="s">
        <v>2</v>
      </c>
      <c r="C12" s="55"/>
      <c r="D12" s="55"/>
      <c r="E12" s="55"/>
      <c r="F12" s="55"/>
      <c r="G12" s="55"/>
      <c r="H12" s="55"/>
    </row>
    <row r="14" spans="1:9" s="17" customFormat="1" ht="57.75" customHeight="1" x14ac:dyDescent="0.25">
      <c r="B14" s="36" t="s">
        <v>15</v>
      </c>
      <c r="C14" s="36" t="s">
        <v>16</v>
      </c>
      <c r="D14" s="36" t="s">
        <v>22</v>
      </c>
      <c r="E14" s="36" t="s">
        <v>23</v>
      </c>
      <c r="F14" s="37" t="s">
        <v>17</v>
      </c>
      <c r="G14" s="37" t="s">
        <v>24</v>
      </c>
      <c r="H14" s="36" t="s">
        <v>18</v>
      </c>
    </row>
    <row r="15" spans="1:9" s="18" customFormat="1" ht="36.6" customHeight="1" x14ac:dyDescent="0.25">
      <c r="B15" s="60" t="s">
        <v>37</v>
      </c>
      <c r="C15" s="46"/>
      <c r="D15" s="47"/>
      <c r="E15" s="38"/>
      <c r="F15" s="39"/>
      <c r="G15" s="39"/>
      <c r="H15" s="39">
        <f xml:space="preserve"> SUM(E15:E39)</f>
        <v>2600000</v>
      </c>
    </row>
    <row r="16" spans="1:9" ht="29.25" customHeight="1" x14ac:dyDescent="0.25">
      <c r="B16" s="60" t="s">
        <v>38</v>
      </c>
      <c r="C16" s="46"/>
      <c r="D16" s="47"/>
      <c r="E16" s="38"/>
      <c r="F16" s="39"/>
      <c r="G16" s="39"/>
      <c r="H16" s="39">
        <f xml:space="preserve"> SUM(E16:E39)</f>
        <v>2600000</v>
      </c>
    </row>
    <row r="17" spans="2:8" ht="29.25" customHeight="1" x14ac:dyDescent="0.25">
      <c r="B17" s="42">
        <v>1</v>
      </c>
      <c r="C17" s="48" t="s">
        <v>39</v>
      </c>
      <c r="D17" s="61" t="s">
        <v>97</v>
      </c>
      <c r="E17" s="62">
        <v>500000</v>
      </c>
      <c r="F17" s="43">
        <v>2</v>
      </c>
      <c r="G17" s="62">
        <f t="shared" ref="G17" si="0">F17*E17</f>
        <v>1000000</v>
      </c>
      <c r="H17" s="63"/>
    </row>
    <row r="18" spans="2:8" s="74" customFormat="1" ht="29.25" customHeight="1" x14ac:dyDescent="0.25">
      <c r="B18" s="70">
        <v>2</v>
      </c>
      <c r="C18" s="68" t="s">
        <v>40</v>
      </c>
      <c r="D18" s="71" t="s">
        <v>97</v>
      </c>
      <c r="E18" s="64"/>
      <c r="F18" s="72">
        <v>2</v>
      </c>
      <c r="G18" s="64"/>
      <c r="H18" s="73"/>
    </row>
    <row r="19" spans="2:8" ht="29.25" customHeight="1" x14ac:dyDescent="0.25">
      <c r="B19" s="42">
        <v>3</v>
      </c>
      <c r="C19" s="65" t="s">
        <v>41</v>
      </c>
      <c r="D19" s="61" t="s">
        <v>97</v>
      </c>
      <c r="E19" s="64"/>
      <c r="F19" s="43">
        <v>2</v>
      </c>
      <c r="G19" s="64"/>
      <c r="H19" s="63"/>
    </row>
    <row r="20" spans="2:8" ht="29.25" customHeight="1" x14ac:dyDescent="0.25">
      <c r="B20" s="42">
        <v>4</v>
      </c>
      <c r="C20" s="65" t="s">
        <v>42</v>
      </c>
      <c r="D20" s="61" t="s">
        <v>97</v>
      </c>
      <c r="E20" s="66"/>
      <c r="F20" s="43">
        <v>2</v>
      </c>
      <c r="G20" s="66"/>
      <c r="H20" s="63"/>
    </row>
    <row r="21" spans="2:8" ht="29.25" customHeight="1" x14ac:dyDescent="0.25">
      <c r="B21" s="42">
        <v>5</v>
      </c>
      <c r="C21" s="65" t="s">
        <v>43</v>
      </c>
      <c r="D21" s="61" t="s">
        <v>97</v>
      </c>
      <c r="E21" s="48">
        <v>150000</v>
      </c>
      <c r="F21" s="43">
        <v>2</v>
      </c>
      <c r="G21" s="48">
        <f t="shared" ref="G21:G22" si="1">F21*E21</f>
        <v>300000</v>
      </c>
      <c r="H21" s="63"/>
    </row>
    <row r="22" spans="2:8" ht="29.25" customHeight="1" x14ac:dyDescent="0.25">
      <c r="B22" s="42">
        <v>6</v>
      </c>
      <c r="C22" s="65" t="s">
        <v>44</v>
      </c>
      <c r="D22" s="61" t="s">
        <v>97</v>
      </c>
      <c r="E22" s="62">
        <v>100000</v>
      </c>
      <c r="F22" s="43">
        <v>2</v>
      </c>
      <c r="G22" s="62">
        <f t="shared" si="1"/>
        <v>200000</v>
      </c>
      <c r="H22" s="63"/>
    </row>
    <row r="23" spans="2:8" ht="29.25" customHeight="1" x14ac:dyDescent="0.25">
      <c r="B23" s="42">
        <v>7</v>
      </c>
      <c r="C23" s="65" t="s">
        <v>45</v>
      </c>
      <c r="D23" s="61" t="s">
        <v>97</v>
      </c>
      <c r="E23" s="64"/>
      <c r="F23" s="43">
        <v>2</v>
      </c>
      <c r="G23" s="64"/>
      <c r="H23" s="63"/>
    </row>
    <row r="24" spans="2:8" ht="29.25" customHeight="1" x14ac:dyDescent="0.25">
      <c r="B24" s="42">
        <v>8</v>
      </c>
      <c r="C24" s="65" t="s">
        <v>46</v>
      </c>
      <c r="D24" s="61" t="s">
        <v>97</v>
      </c>
      <c r="E24" s="66"/>
      <c r="F24" s="43">
        <v>2</v>
      </c>
      <c r="G24" s="66"/>
      <c r="H24" s="63"/>
    </row>
    <row r="25" spans="2:8" ht="29.25" customHeight="1" x14ac:dyDescent="0.25">
      <c r="B25" s="42">
        <v>9</v>
      </c>
      <c r="C25" s="65" t="s">
        <v>47</v>
      </c>
      <c r="D25" s="61" t="s">
        <v>97</v>
      </c>
      <c r="E25" s="48">
        <v>80000</v>
      </c>
      <c r="F25" s="43">
        <v>2</v>
      </c>
      <c r="G25" s="48">
        <f t="shared" ref="G25:G38" si="2">F25*E25</f>
        <v>160000</v>
      </c>
      <c r="H25" s="63"/>
    </row>
    <row r="26" spans="2:8" ht="29.25" customHeight="1" x14ac:dyDescent="0.25">
      <c r="B26" s="42">
        <v>10</v>
      </c>
      <c r="C26" s="65" t="s">
        <v>48</v>
      </c>
      <c r="D26" s="61" t="s">
        <v>97</v>
      </c>
      <c r="E26" s="48">
        <v>70000</v>
      </c>
      <c r="F26" s="43">
        <v>2</v>
      </c>
      <c r="G26" s="48">
        <f t="shared" si="2"/>
        <v>140000</v>
      </c>
      <c r="H26" s="63"/>
    </row>
    <row r="27" spans="2:8" ht="29.25" customHeight="1" x14ac:dyDescent="0.25">
      <c r="B27" s="42">
        <v>12</v>
      </c>
      <c r="C27" s="48" t="s">
        <v>49</v>
      </c>
      <c r="D27" s="61" t="s">
        <v>97</v>
      </c>
      <c r="E27" s="48">
        <v>150000</v>
      </c>
      <c r="F27" s="43">
        <v>2</v>
      </c>
      <c r="G27" s="48">
        <f t="shared" si="2"/>
        <v>300000</v>
      </c>
      <c r="H27" s="63"/>
    </row>
    <row r="28" spans="2:8" ht="29.25" customHeight="1" x14ac:dyDescent="0.25">
      <c r="B28" s="42">
        <v>13</v>
      </c>
      <c r="C28" s="48" t="s">
        <v>50</v>
      </c>
      <c r="D28" s="61" t="s">
        <v>97</v>
      </c>
      <c r="E28" s="48">
        <v>150000</v>
      </c>
      <c r="F28" s="43">
        <v>2</v>
      </c>
      <c r="G28" s="48">
        <f t="shared" si="2"/>
        <v>300000</v>
      </c>
      <c r="H28" s="63"/>
    </row>
    <row r="29" spans="2:8" ht="29.25" customHeight="1" x14ac:dyDescent="0.25">
      <c r="B29" s="42">
        <v>14</v>
      </c>
      <c r="C29" s="48" t="s">
        <v>51</v>
      </c>
      <c r="D29" s="61" t="s">
        <v>97</v>
      </c>
      <c r="E29" s="48">
        <v>150000</v>
      </c>
      <c r="F29" s="43">
        <v>2</v>
      </c>
      <c r="G29" s="48">
        <f t="shared" si="2"/>
        <v>300000</v>
      </c>
      <c r="H29" s="63"/>
    </row>
    <row r="30" spans="2:8" ht="29.25" customHeight="1" x14ac:dyDescent="0.25">
      <c r="B30" s="42">
        <v>15</v>
      </c>
      <c r="C30" s="48" t="s">
        <v>52</v>
      </c>
      <c r="D30" s="61" t="s">
        <v>97</v>
      </c>
      <c r="E30" s="48">
        <v>150000</v>
      </c>
      <c r="F30" s="43">
        <v>2</v>
      </c>
      <c r="G30" s="48">
        <f t="shared" si="2"/>
        <v>300000</v>
      </c>
      <c r="H30" s="63"/>
    </row>
    <row r="31" spans="2:8" ht="29.25" customHeight="1" x14ac:dyDescent="0.25">
      <c r="B31" s="42">
        <v>16</v>
      </c>
      <c r="C31" s="48" t="s">
        <v>53</v>
      </c>
      <c r="D31" s="61" t="s">
        <v>97</v>
      </c>
      <c r="E31" s="48">
        <v>80000</v>
      </c>
      <c r="F31" s="43">
        <v>2</v>
      </c>
      <c r="G31" s="48">
        <f t="shared" si="2"/>
        <v>160000</v>
      </c>
      <c r="H31" s="63"/>
    </row>
    <row r="32" spans="2:8" ht="29.25" customHeight="1" x14ac:dyDescent="0.25">
      <c r="B32" s="42">
        <v>17</v>
      </c>
      <c r="C32" s="48" t="s">
        <v>54</v>
      </c>
      <c r="D32" s="61" t="s">
        <v>97</v>
      </c>
      <c r="E32" s="48">
        <v>80000</v>
      </c>
      <c r="F32" s="43">
        <v>2</v>
      </c>
      <c r="G32" s="48">
        <f t="shared" si="2"/>
        <v>160000</v>
      </c>
      <c r="H32" s="63"/>
    </row>
    <row r="33" spans="2:8" ht="29.25" customHeight="1" x14ac:dyDescent="0.25">
      <c r="B33" s="42">
        <v>18</v>
      </c>
      <c r="C33" s="48" t="s">
        <v>55</v>
      </c>
      <c r="D33" s="61" t="s">
        <v>97</v>
      </c>
      <c r="E33" s="48">
        <v>80000</v>
      </c>
      <c r="F33" s="43">
        <v>2</v>
      </c>
      <c r="G33" s="48">
        <f t="shared" si="2"/>
        <v>160000</v>
      </c>
      <c r="H33" s="63"/>
    </row>
    <row r="34" spans="2:8" ht="29.25" customHeight="1" x14ac:dyDescent="0.25">
      <c r="B34" s="42">
        <v>19</v>
      </c>
      <c r="C34" s="48" t="s">
        <v>56</v>
      </c>
      <c r="D34" s="61" t="s">
        <v>97</v>
      </c>
      <c r="E34" s="48">
        <v>120000</v>
      </c>
      <c r="F34" s="43">
        <v>2</v>
      </c>
      <c r="G34" s="48">
        <f t="shared" si="2"/>
        <v>240000</v>
      </c>
      <c r="H34" s="63"/>
    </row>
    <row r="35" spans="2:8" ht="29.25" customHeight="1" x14ac:dyDescent="0.25">
      <c r="B35" s="42">
        <v>20</v>
      </c>
      <c r="C35" s="48" t="s">
        <v>57</v>
      </c>
      <c r="D35" s="61" t="s">
        <v>97</v>
      </c>
      <c r="E35" s="48">
        <v>80000</v>
      </c>
      <c r="F35" s="43">
        <v>2</v>
      </c>
      <c r="G35" s="48">
        <f t="shared" si="2"/>
        <v>160000</v>
      </c>
      <c r="H35" s="63"/>
    </row>
    <row r="36" spans="2:8" ht="29.25" customHeight="1" x14ac:dyDescent="0.25">
      <c r="B36" s="42">
        <v>21</v>
      </c>
      <c r="C36" s="48" t="s">
        <v>58</v>
      </c>
      <c r="D36" s="61" t="s">
        <v>97</v>
      </c>
      <c r="E36" s="48">
        <v>80000</v>
      </c>
      <c r="F36" s="43">
        <v>2</v>
      </c>
      <c r="G36" s="48">
        <f t="shared" si="2"/>
        <v>160000</v>
      </c>
      <c r="H36" s="67"/>
    </row>
    <row r="37" spans="2:8" ht="29.25" customHeight="1" x14ac:dyDescent="0.25">
      <c r="B37" s="42">
        <v>22</v>
      </c>
      <c r="C37" s="48" t="s">
        <v>59</v>
      </c>
      <c r="D37" s="61" t="s">
        <v>97</v>
      </c>
      <c r="E37" s="48">
        <v>80000</v>
      </c>
      <c r="F37" s="43">
        <v>2</v>
      </c>
      <c r="G37" s="48">
        <f t="shared" si="2"/>
        <v>160000</v>
      </c>
      <c r="H37" s="67"/>
    </row>
    <row r="38" spans="2:8" ht="29.25" customHeight="1" x14ac:dyDescent="0.25">
      <c r="B38" s="42">
        <v>23</v>
      </c>
      <c r="C38" s="65" t="s">
        <v>60</v>
      </c>
      <c r="D38" s="61" t="s">
        <v>97</v>
      </c>
      <c r="E38" s="62">
        <v>500000</v>
      </c>
      <c r="F38" s="43">
        <v>2</v>
      </c>
      <c r="G38" s="62">
        <f t="shared" si="2"/>
        <v>1000000</v>
      </c>
      <c r="H38" s="67"/>
    </row>
    <row r="39" spans="2:8" ht="29.25" customHeight="1" x14ac:dyDescent="0.25">
      <c r="B39" s="42">
        <v>24</v>
      </c>
      <c r="C39" s="48" t="s">
        <v>61</v>
      </c>
      <c r="D39" s="61" t="s">
        <v>97</v>
      </c>
      <c r="E39" s="66"/>
      <c r="F39" s="43">
        <v>2</v>
      </c>
      <c r="G39" s="66"/>
      <c r="H39" s="67"/>
    </row>
    <row r="40" spans="2:8" ht="29.25" customHeight="1" x14ac:dyDescent="0.25">
      <c r="B40" s="60" t="s">
        <v>62</v>
      </c>
      <c r="C40" s="46"/>
      <c r="D40" s="47"/>
      <c r="E40" s="38"/>
      <c r="F40" s="39"/>
      <c r="G40" s="39"/>
      <c r="H40" s="39">
        <f xml:space="preserve"> SUM(E40:E45)</f>
        <v>820000</v>
      </c>
    </row>
    <row r="41" spans="2:8" ht="29.25" customHeight="1" x14ac:dyDescent="0.25">
      <c r="B41" s="60" t="s">
        <v>63</v>
      </c>
      <c r="C41" s="46"/>
      <c r="D41" s="47"/>
      <c r="E41" s="38"/>
      <c r="F41" s="39"/>
      <c r="G41" s="39"/>
      <c r="H41" s="39">
        <f xml:space="preserve"> SUM(E40:E45)</f>
        <v>820000</v>
      </c>
    </row>
    <row r="42" spans="2:8" ht="29.25" customHeight="1" x14ac:dyDescent="0.25">
      <c r="B42" s="42">
        <v>1</v>
      </c>
      <c r="C42" s="48" t="s">
        <v>64</v>
      </c>
      <c r="D42" s="61" t="s">
        <v>97</v>
      </c>
      <c r="E42" s="48">
        <v>100000</v>
      </c>
      <c r="F42" s="43">
        <v>2</v>
      </c>
      <c r="G42" s="48">
        <f t="shared" ref="G42:G45" si="3">F42*E42</f>
        <v>200000</v>
      </c>
      <c r="H42" s="63"/>
    </row>
    <row r="43" spans="2:8" ht="29.25" customHeight="1" x14ac:dyDescent="0.25">
      <c r="B43" s="42">
        <v>2</v>
      </c>
      <c r="C43" s="48" t="s">
        <v>48</v>
      </c>
      <c r="D43" s="61" t="s">
        <v>97</v>
      </c>
      <c r="E43" s="48">
        <v>70000</v>
      </c>
      <c r="F43" s="43">
        <v>2</v>
      </c>
      <c r="G43" s="48">
        <f t="shared" si="3"/>
        <v>140000</v>
      </c>
      <c r="H43" s="63"/>
    </row>
    <row r="44" spans="2:8" ht="29.25" customHeight="1" x14ac:dyDescent="0.25">
      <c r="B44" s="42">
        <v>3</v>
      </c>
      <c r="C44" s="65" t="s">
        <v>65</v>
      </c>
      <c r="D44" s="61" t="s">
        <v>97</v>
      </c>
      <c r="E44" s="48">
        <v>150000</v>
      </c>
      <c r="F44" s="43">
        <v>2</v>
      </c>
      <c r="G44" s="48">
        <f t="shared" si="3"/>
        <v>300000</v>
      </c>
      <c r="H44" s="63"/>
    </row>
    <row r="45" spans="2:8" ht="29.25" customHeight="1" x14ac:dyDescent="0.25">
      <c r="B45" s="42">
        <v>4</v>
      </c>
      <c r="C45" s="65" t="s">
        <v>66</v>
      </c>
      <c r="D45" s="61" t="s">
        <v>97</v>
      </c>
      <c r="E45" s="48">
        <v>500000</v>
      </c>
      <c r="F45" s="43">
        <v>2</v>
      </c>
      <c r="G45" s="48">
        <f t="shared" si="3"/>
        <v>1000000</v>
      </c>
      <c r="H45" s="63"/>
    </row>
    <row r="46" spans="2:8" ht="29.25" customHeight="1" x14ac:dyDescent="0.25">
      <c r="B46" s="60" t="s">
        <v>67</v>
      </c>
      <c r="C46" s="46"/>
      <c r="D46" s="47"/>
      <c r="E46" s="38"/>
      <c r="F46" s="39"/>
      <c r="G46" s="39"/>
      <c r="H46" s="39">
        <f xml:space="preserve"> SUM(E48:E68)</f>
        <v>2520000</v>
      </c>
    </row>
    <row r="47" spans="2:8" ht="29.25" customHeight="1" x14ac:dyDescent="0.25">
      <c r="B47" s="60" t="s">
        <v>68</v>
      </c>
      <c r="C47" s="46"/>
      <c r="D47" s="47"/>
      <c r="E47" s="38"/>
      <c r="F47" s="39"/>
      <c r="G47" s="39"/>
      <c r="H47" s="39">
        <f xml:space="preserve"> SUM(E47:E68)</f>
        <v>2520000</v>
      </c>
    </row>
    <row r="48" spans="2:8" ht="29.25" customHeight="1" x14ac:dyDescent="0.25">
      <c r="B48" s="42">
        <v>1</v>
      </c>
      <c r="C48" s="48" t="s">
        <v>39</v>
      </c>
      <c r="D48" s="61" t="s">
        <v>97</v>
      </c>
      <c r="E48" s="62">
        <v>500000</v>
      </c>
      <c r="F48" s="43">
        <v>2</v>
      </c>
      <c r="G48" s="62">
        <f t="shared" ref="G48" si="4">F48*E48</f>
        <v>1000000</v>
      </c>
      <c r="H48" s="63"/>
    </row>
    <row r="49" spans="2:8" s="74" customFormat="1" ht="29.25" customHeight="1" x14ac:dyDescent="0.25">
      <c r="B49" s="70">
        <v>2</v>
      </c>
      <c r="C49" s="68" t="s">
        <v>40</v>
      </c>
      <c r="D49" s="71" t="s">
        <v>97</v>
      </c>
      <c r="E49" s="64"/>
      <c r="F49" s="72">
        <v>2</v>
      </c>
      <c r="G49" s="64"/>
      <c r="H49" s="73"/>
    </row>
    <row r="50" spans="2:8" ht="29.25" customHeight="1" x14ac:dyDescent="0.25">
      <c r="B50" s="42">
        <v>3</v>
      </c>
      <c r="C50" s="65" t="s">
        <v>41</v>
      </c>
      <c r="D50" s="61" t="s">
        <v>97</v>
      </c>
      <c r="E50" s="64"/>
      <c r="F50" s="43">
        <v>2</v>
      </c>
      <c r="G50" s="64"/>
      <c r="H50" s="63"/>
    </row>
    <row r="51" spans="2:8" ht="29.25" customHeight="1" x14ac:dyDescent="0.25">
      <c r="B51" s="42">
        <v>4</v>
      </c>
      <c r="C51" s="65" t="s">
        <v>42</v>
      </c>
      <c r="D51" s="61" t="s">
        <v>97</v>
      </c>
      <c r="E51" s="66"/>
      <c r="F51" s="43">
        <v>2</v>
      </c>
      <c r="G51" s="66"/>
      <c r="H51" s="63"/>
    </row>
    <row r="52" spans="2:8" ht="29.25" customHeight="1" x14ac:dyDescent="0.25">
      <c r="B52" s="42">
        <v>5</v>
      </c>
      <c r="C52" s="65" t="s">
        <v>43</v>
      </c>
      <c r="D52" s="61" t="s">
        <v>97</v>
      </c>
      <c r="E52" s="48">
        <v>150000</v>
      </c>
      <c r="F52" s="43">
        <v>2</v>
      </c>
      <c r="G52" s="48">
        <f t="shared" ref="G52:G53" si="5">F52*E52</f>
        <v>300000</v>
      </c>
      <c r="H52" s="63"/>
    </row>
    <row r="53" spans="2:8" ht="29.25" customHeight="1" x14ac:dyDescent="0.25">
      <c r="B53" s="42">
        <v>6</v>
      </c>
      <c r="C53" s="65" t="s">
        <v>44</v>
      </c>
      <c r="D53" s="61" t="s">
        <v>97</v>
      </c>
      <c r="E53" s="62">
        <v>100000</v>
      </c>
      <c r="F53" s="43">
        <v>2</v>
      </c>
      <c r="G53" s="62">
        <f t="shared" si="5"/>
        <v>200000</v>
      </c>
      <c r="H53" s="63"/>
    </row>
    <row r="54" spans="2:8" ht="29.25" customHeight="1" x14ac:dyDescent="0.25">
      <c r="B54" s="42">
        <v>7</v>
      </c>
      <c r="C54" s="65" t="s">
        <v>45</v>
      </c>
      <c r="D54" s="61" t="s">
        <v>97</v>
      </c>
      <c r="E54" s="64"/>
      <c r="F54" s="43">
        <v>2</v>
      </c>
      <c r="G54" s="64"/>
      <c r="H54" s="63"/>
    </row>
    <row r="55" spans="2:8" ht="29.25" customHeight="1" x14ac:dyDescent="0.25">
      <c r="B55" s="42">
        <v>8</v>
      </c>
      <c r="C55" s="65" t="s">
        <v>46</v>
      </c>
      <c r="D55" s="61" t="s">
        <v>97</v>
      </c>
      <c r="E55" s="66"/>
      <c r="F55" s="43">
        <v>2</v>
      </c>
      <c r="G55" s="66"/>
      <c r="H55" s="63"/>
    </row>
    <row r="56" spans="2:8" ht="29.25" customHeight="1" x14ac:dyDescent="0.25">
      <c r="B56" s="42">
        <v>9</v>
      </c>
      <c r="C56" s="65" t="s">
        <v>47</v>
      </c>
      <c r="D56" s="61" t="s">
        <v>97</v>
      </c>
      <c r="E56" s="48">
        <v>80000</v>
      </c>
      <c r="F56" s="43">
        <v>2</v>
      </c>
      <c r="G56" s="48">
        <f t="shared" ref="G56:G67" si="6">F56*E56</f>
        <v>160000</v>
      </c>
      <c r="H56" s="63"/>
    </row>
    <row r="57" spans="2:8" ht="29.25" customHeight="1" x14ac:dyDescent="0.25">
      <c r="B57" s="42">
        <v>10</v>
      </c>
      <c r="C57" s="65" t="s">
        <v>69</v>
      </c>
      <c r="D57" s="61" t="s">
        <v>97</v>
      </c>
      <c r="E57" s="48">
        <v>150000</v>
      </c>
      <c r="F57" s="43">
        <v>2</v>
      </c>
      <c r="G57" s="48">
        <f t="shared" si="6"/>
        <v>300000</v>
      </c>
      <c r="H57" s="63"/>
    </row>
    <row r="58" spans="2:8" ht="29.25" customHeight="1" x14ac:dyDescent="0.25">
      <c r="B58" s="42">
        <v>11</v>
      </c>
      <c r="C58" s="48" t="s">
        <v>49</v>
      </c>
      <c r="D58" s="61" t="s">
        <v>97</v>
      </c>
      <c r="E58" s="48">
        <v>150000</v>
      </c>
      <c r="F58" s="43">
        <v>2</v>
      </c>
      <c r="G58" s="48">
        <f t="shared" si="6"/>
        <v>300000</v>
      </c>
      <c r="H58" s="63"/>
    </row>
    <row r="59" spans="2:8" ht="29.25" customHeight="1" x14ac:dyDescent="0.25">
      <c r="B59" s="42">
        <v>12</v>
      </c>
      <c r="C59" s="48" t="s">
        <v>50</v>
      </c>
      <c r="D59" s="61" t="s">
        <v>97</v>
      </c>
      <c r="E59" s="48">
        <v>150000</v>
      </c>
      <c r="F59" s="43">
        <v>2</v>
      </c>
      <c r="G59" s="48">
        <f t="shared" si="6"/>
        <v>300000</v>
      </c>
      <c r="H59" s="63"/>
    </row>
    <row r="60" spans="2:8" ht="29.25" customHeight="1" x14ac:dyDescent="0.25">
      <c r="B60" s="42">
        <v>13</v>
      </c>
      <c r="C60" s="48" t="s">
        <v>51</v>
      </c>
      <c r="D60" s="61" t="s">
        <v>97</v>
      </c>
      <c r="E60" s="48">
        <v>150000</v>
      </c>
      <c r="F60" s="43">
        <v>2</v>
      </c>
      <c r="G60" s="48">
        <f t="shared" si="6"/>
        <v>300000</v>
      </c>
      <c r="H60" s="63"/>
    </row>
    <row r="61" spans="2:8" ht="29.25" customHeight="1" x14ac:dyDescent="0.25">
      <c r="B61" s="42">
        <v>14</v>
      </c>
      <c r="C61" s="48" t="s">
        <v>52</v>
      </c>
      <c r="D61" s="61" t="s">
        <v>97</v>
      </c>
      <c r="E61" s="48">
        <v>150000</v>
      </c>
      <c r="F61" s="43">
        <v>2</v>
      </c>
      <c r="G61" s="48">
        <f t="shared" si="6"/>
        <v>300000</v>
      </c>
      <c r="H61" s="63"/>
    </row>
    <row r="62" spans="2:8" ht="29.25" customHeight="1" x14ac:dyDescent="0.25">
      <c r="B62" s="42">
        <v>15</v>
      </c>
      <c r="C62" s="48" t="s">
        <v>53</v>
      </c>
      <c r="D62" s="61" t="s">
        <v>97</v>
      </c>
      <c r="E62" s="48">
        <v>80000</v>
      </c>
      <c r="F62" s="43">
        <v>2</v>
      </c>
      <c r="G62" s="48">
        <f t="shared" si="6"/>
        <v>160000</v>
      </c>
      <c r="H62" s="63"/>
    </row>
    <row r="63" spans="2:8" ht="29.25" customHeight="1" x14ac:dyDescent="0.25">
      <c r="B63" s="42">
        <v>16</v>
      </c>
      <c r="C63" s="48" t="s">
        <v>54</v>
      </c>
      <c r="D63" s="61" t="s">
        <v>97</v>
      </c>
      <c r="E63" s="48">
        <v>80000</v>
      </c>
      <c r="F63" s="43">
        <v>2</v>
      </c>
      <c r="G63" s="48">
        <f t="shared" si="6"/>
        <v>160000</v>
      </c>
      <c r="H63" s="63"/>
    </row>
    <row r="64" spans="2:8" ht="29.25" customHeight="1" x14ac:dyDescent="0.25">
      <c r="B64" s="42">
        <v>17</v>
      </c>
      <c r="C64" s="48" t="s">
        <v>55</v>
      </c>
      <c r="D64" s="61" t="s">
        <v>97</v>
      </c>
      <c r="E64" s="48">
        <v>80000</v>
      </c>
      <c r="F64" s="43">
        <v>2</v>
      </c>
      <c r="G64" s="48">
        <f t="shared" si="6"/>
        <v>160000</v>
      </c>
      <c r="H64" s="63"/>
    </row>
    <row r="65" spans="2:8" ht="29.25" customHeight="1" x14ac:dyDescent="0.25">
      <c r="B65" s="42">
        <v>18</v>
      </c>
      <c r="C65" s="48" t="s">
        <v>56</v>
      </c>
      <c r="D65" s="61" t="s">
        <v>97</v>
      </c>
      <c r="E65" s="48">
        <v>120000</v>
      </c>
      <c r="F65" s="43">
        <v>2</v>
      </c>
      <c r="G65" s="48">
        <f t="shared" si="6"/>
        <v>240000</v>
      </c>
      <c r="H65" s="63"/>
    </row>
    <row r="66" spans="2:8" ht="29.25" customHeight="1" x14ac:dyDescent="0.25">
      <c r="B66" s="42">
        <v>19</v>
      </c>
      <c r="C66" s="48" t="s">
        <v>59</v>
      </c>
      <c r="D66" s="61" t="s">
        <v>97</v>
      </c>
      <c r="E66" s="48">
        <v>80000</v>
      </c>
      <c r="F66" s="43">
        <v>2</v>
      </c>
      <c r="G66" s="48">
        <f t="shared" si="6"/>
        <v>160000</v>
      </c>
      <c r="H66" s="67"/>
    </row>
    <row r="67" spans="2:8" ht="29.25" customHeight="1" x14ac:dyDescent="0.25">
      <c r="B67" s="42">
        <v>20</v>
      </c>
      <c r="C67" s="65" t="s">
        <v>60</v>
      </c>
      <c r="D67" s="61" t="s">
        <v>97</v>
      </c>
      <c r="E67" s="62">
        <v>500000</v>
      </c>
      <c r="F67" s="43">
        <v>2</v>
      </c>
      <c r="G67" s="62">
        <f t="shared" si="6"/>
        <v>1000000</v>
      </c>
      <c r="H67" s="67"/>
    </row>
    <row r="68" spans="2:8" ht="29.25" customHeight="1" x14ac:dyDescent="0.25">
      <c r="B68" s="42">
        <v>21</v>
      </c>
      <c r="C68" s="48" t="s">
        <v>61</v>
      </c>
      <c r="D68" s="61" t="s">
        <v>97</v>
      </c>
      <c r="E68" s="66"/>
      <c r="F68" s="43">
        <v>2</v>
      </c>
      <c r="G68" s="66"/>
      <c r="H68" s="67"/>
    </row>
    <row r="69" spans="2:8" ht="29.25" customHeight="1" x14ac:dyDescent="0.25">
      <c r="B69" s="60" t="s">
        <v>70</v>
      </c>
      <c r="C69" s="46"/>
      <c r="D69" s="47"/>
      <c r="E69" s="38"/>
      <c r="F69" s="39"/>
      <c r="G69" s="39"/>
      <c r="H69" s="39">
        <f>SUM(E70:E89)</f>
        <v>2720000</v>
      </c>
    </row>
    <row r="70" spans="2:8" ht="29.25" customHeight="1" x14ac:dyDescent="0.25">
      <c r="B70" s="60" t="s">
        <v>71</v>
      </c>
      <c r="C70" s="46"/>
      <c r="D70" s="47"/>
      <c r="E70" s="38"/>
      <c r="F70" s="39"/>
      <c r="G70" s="39"/>
      <c r="H70" s="39">
        <f>SUM(E71:E90)</f>
        <v>2720000</v>
      </c>
    </row>
    <row r="71" spans="2:8" ht="29.25" customHeight="1" x14ac:dyDescent="0.25">
      <c r="B71" s="42">
        <v>1</v>
      </c>
      <c r="C71" s="65" t="s">
        <v>44</v>
      </c>
      <c r="D71" s="61" t="s">
        <v>97</v>
      </c>
      <c r="E71" s="62">
        <v>100000</v>
      </c>
      <c r="F71" s="43">
        <v>2</v>
      </c>
      <c r="G71" s="62">
        <f t="shared" ref="G71" si="7">F71*E71</f>
        <v>200000</v>
      </c>
      <c r="H71" s="63"/>
    </row>
    <row r="72" spans="2:8" ht="29.25" customHeight="1" x14ac:dyDescent="0.25">
      <c r="B72" s="42">
        <v>2</v>
      </c>
      <c r="C72" s="65" t="s">
        <v>45</v>
      </c>
      <c r="D72" s="61" t="s">
        <v>97</v>
      </c>
      <c r="E72" s="64"/>
      <c r="F72" s="43">
        <v>2</v>
      </c>
      <c r="G72" s="64"/>
      <c r="H72" s="63"/>
    </row>
    <row r="73" spans="2:8" ht="29.25" customHeight="1" x14ac:dyDescent="0.25">
      <c r="B73" s="42">
        <v>3</v>
      </c>
      <c r="C73" s="65" t="s">
        <v>46</v>
      </c>
      <c r="D73" s="61" t="s">
        <v>97</v>
      </c>
      <c r="E73" s="66"/>
      <c r="F73" s="43">
        <v>2</v>
      </c>
      <c r="G73" s="66"/>
      <c r="H73" s="63"/>
    </row>
    <row r="74" spans="2:8" ht="29.25" customHeight="1" x14ac:dyDescent="0.25">
      <c r="B74" s="42">
        <v>4</v>
      </c>
      <c r="C74" s="65" t="s">
        <v>47</v>
      </c>
      <c r="D74" s="61" t="s">
        <v>97</v>
      </c>
      <c r="E74" s="48">
        <v>80000</v>
      </c>
      <c r="F74" s="43">
        <v>2</v>
      </c>
      <c r="G74" s="48">
        <f t="shared" ref="G74:G89" si="8">F74*E74</f>
        <v>160000</v>
      </c>
      <c r="H74" s="63"/>
    </row>
    <row r="75" spans="2:8" ht="29.25" customHeight="1" x14ac:dyDescent="0.25">
      <c r="B75" s="42">
        <v>5</v>
      </c>
      <c r="C75" s="48" t="s">
        <v>72</v>
      </c>
      <c r="D75" s="61" t="s">
        <v>97</v>
      </c>
      <c r="E75" s="48">
        <v>350000</v>
      </c>
      <c r="F75" s="43">
        <v>2</v>
      </c>
      <c r="G75" s="48">
        <f t="shared" si="8"/>
        <v>700000</v>
      </c>
      <c r="H75" s="63"/>
    </row>
    <row r="76" spans="2:8" ht="29.25" customHeight="1" x14ac:dyDescent="0.25">
      <c r="B76" s="42">
        <v>6</v>
      </c>
      <c r="C76" s="48" t="s">
        <v>73</v>
      </c>
      <c r="D76" s="61" t="s">
        <v>97</v>
      </c>
      <c r="E76" s="48">
        <v>350000</v>
      </c>
      <c r="F76" s="43">
        <v>2</v>
      </c>
      <c r="G76" s="48">
        <f t="shared" si="8"/>
        <v>700000</v>
      </c>
      <c r="H76" s="63"/>
    </row>
    <row r="77" spans="2:8" ht="29.25" customHeight="1" x14ac:dyDescent="0.25">
      <c r="B77" s="42">
        <v>7</v>
      </c>
      <c r="C77" s="48" t="s">
        <v>74</v>
      </c>
      <c r="D77" s="61" t="s">
        <v>97</v>
      </c>
      <c r="E77" s="48">
        <v>150000</v>
      </c>
      <c r="F77" s="43">
        <v>2</v>
      </c>
      <c r="G77" s="48">
        <f t="shared" si="8"/>
        <v>300000</v>
      </c>
      <c r="H77" s="63"/>
    </row>
    <row r="78" spans="2:8" ht="29.25" customHeight="1" x14ac:dyDescent="0.25">
      <c r="B78" s="42">
        <v>8</v>
      </c>
      <c r="C78" s="65" t="s">
        <v>69</v>
      </c>
      <c r="D78" s="61" t="s">
        <v>97</v>
      </c>
      <c r="E78" s="48">
        <v>150000</v>
      </c>
      <c r="F78" s="43">
        <v>2</v>
      </c>
      <c r="G78" s="48">
        <f t="shared" si="8"/>
        <v>300000</v>
      </c>
      <c r="H78" s="63"/>
    </row>
    <row r="79" spans="2:8" ht="29.25" customHeight="1" x14ac:dyDescent="0.25">
      <c r="B79" s="42">
        <v>9</v>
      </c>
      <c r="C79" s="48" t="s">
        <v>49</v>
      </c>
      <c r="D79" s="61" t="s">
        <v>97</v>
      </c>
      <c r="E79" s="48">
        <v>150000</v>
      </c>
      <c r="F79" s="43">
        <v>2</v>
      </c>
      <c r="G79" s="48">
        <f t="shared" si="8"/>
        <v>300000</v>
      </c>
      <c r="H79" s="63"/>
    </row>
    <row r="80" spans="2:8" ht="29.25" customHeight="1" x14ac:dyDescent="0.25">
      <c r="B80" s="42">
        <v>10</v>
      </c>
      <c r="C80" s="48" t="s">
        <v>50</v>
      </c>
      <c r="D80" s="61" t="s">
        <v>97</v>
      </c>
      <c r="E80" s="48">
        <v>150000</v>
      </c>
      <c r="F80" s="43">
        <v>2</v>
      </c>
      <c r="G80" s="48">
        <f t="shared" si="8"/>
        <v>300000</v>
      </c>
      <c r="H80" s="63"/>
    </row>
    <row r="81" spans="2:8" ht="29.25" customHeight="1" x14ac:dyDescent="0.25">
      <c r="B81" s="42">
        <v>11</v>
      </c>
      <c r="C81" s="48" t="s">
        <v>51</v>
      </c>
      <c r="D81" s="61" t="s">
        <v>97</v>
      </c>
      <c r="E81" s="48">
        <v>150000</v>
      </c>
      <c r="F81" s="43">
        <v>2</v>
      </c>
      <c r="G81" s="48">
        <f t="shared" si="8"/>
        <v>300000</v>
      </c>
      <c r="H81" s="63"/>
    </row>
    <row r="82" spans="2:8" ht="29.25" customHeight="1" x14ac:dyDescent="0.25">
      <c r="B82" s="42">
        <v>12</v>
      </c>
      <c r="C82" s="48" t="s">
        <v>52</v>
      </c>
      <c r="D82" s="61" t="s">
        <v>97</v>
      </c>
      <c r="E82" s="48">
        <v>150000</v>
      </c>
      <c r="F82" s="43">
        <v>2</v>
      </c>
      <c r="G82" s="48">
        <f t="shared" si="8"/>
        <v>300000</v>
      </c>
      <c r="H82" s="63"/>
    </row>
    <row r="83" spans="2:8" s="74" customFormat="1" ht="29.25" customHeight="1" x14ac:dyDescent="0.25">
      <c r="B83" s="70">
        <v>13</v>
      </c>
      <c r="C83" s="68" t="s">
        <v>102</v>
      </c>
      <c r="D83" s="71" t="s">
        <v>97</v>
      </c>
      <c r="E83" s="68"/>
      <c r="F83" s="72"/>
      <c r="G83" s="68"/>
      <c r="H83" s="73" t="s">
        <v>103</v>
      </c>
    </row>
    <row r="84" spans="2:8" ht="29.25" customHeight="1" x14ac:dyDescent="0.25">
      <c r="B84" s="42">
        <v>14</v>
      </c>
      <c r="C84" s="48" t="s">
        <v>53</v>
      </c>
      <c r="D84" s="61" t="s">
        <v>97</v>
      </c>
      <c r="E84" s="48">
        <v>80000</v>
      </c>
      <c r="F84" s="43">
        <v>2</v>
      </c>
      <c r="G84" s="48">
        <f t="shared" si="8"/>
        <v>160000</v>
      </c>
      <c r="H84" s="63"/>
    </row>
    <row r="85" spans="2:8" ht="29.25" customHeight="1" x14ac:dyDescent="0.25">
      <c r="B85" s="42">
        <v>15</v>
      </c>
      <c r="C85" s="48" t="s">
        <v>54</v>
      </c>
      <c r="D85" s="61" t="s">
        <v>97</v>
      </c>
      <c r="E85" s="48">
        <v>80000</v>
      </c>
      <c r="F85" s="43">
        <v>2</v>
      </c>
      <c r="G85" s="48">
        <f t="shared" si="8"/>
        <v>160000</v>
      </c>
      <c r="H85" s="63"/>
    </row>
    <row r="86" spans="2:8" ht="29.25" customHeight="1" x14ac:dyDescent="0.25">
      <c r="B86" s="42">
        <v>16</v>
      </c>
      <c r="C86" s="48" t="s">
        <v>55</v>
      </c>
      <c r="D86" s="61" t="s">
        <v>97</v>
      </c>
      <c r="E86" s="48">
        <v>80000</v>
      </c>
      <c r="F86" s="43">
        <v>2</v>
      </c>
      <c r="G86" s="48">
        <f t="shared" si="8"/>
        <v>160000</v>
      </c>
      <c r="H86" s="63"/>
    </row>
    <row r="87" spans="2:8" ht="29.25" customHeight="1" x14ac:dyDescent="0.25">
      <c r="B87" s="42">
        <v>17</v>
      </c>
      <c r="C87" s="48" t="s">
        <v>56</v>
      </c>
      <c r="D87" s="61" t="s">
        <v>97</v>
      </c>
      <c r="E87" s="48">
        <v>120000</v>
      </c>
      <c r="F87" s="43">
        <v>2</v>
      </c>
      <c r="G87" s="48">
        <f t="shared" si="8"/>
        <v>240000</v>
      </c>
      <c r="H87" s="63"/>
    </row>
    <row r="88" spans="2:8" ht="29.25" customHeight="1" x14ac:dyDescent="0.25">
      <c r="B88" s="42">
        <v>18</v>
      </c>
      <c r="C88" s="48" t="s">
        <v>59</v>
      </c>
      <c r="D88" s="61" t="s">
        <v>97</v>
      </c>
      <c r="E88" s="48">
        <v>80000</v>
      </c>
      <c r="F88" s="43">
        <v>2</v>
      </c>
      <c r="G88" s="48">
        <f t="shared" si="8"/>
        <v>160000</v>
      </c>
      <c r="H88" s="67"/>
    </row>
    <row r="89" spans="2:8" ht="29.25" customHeight="1" x14ac:dyDescent="0.25">
      <c r="B89" s="42">
        <v>19</v>
      </c>
      <c r="C89" s="65" t="s">
        <v>60</v>
      </c>
      <c r="D89" s="61" t="s">
        <v>97</v>
      </c>
      <c r="E89" s="62">
        <v>500000</v>
      </c>
      <c r="F89" s="43">
        <v>2</v>
      </c>
      <c r="G89" s="62">
        <f t="shared" si="8"/>
        <v>1000000</v>
      </c>
      <c r="H89" s="67"/>
    </row>
    <row r="90" spans="2:8" ht="29.25" customHeight="1" x14ac:dyDescent="0.25">
      <c r="B90" s="42">
        <v>20</v>
      </c>
      <c r="C90" s="48" t="s">
        <v>61</v>
      </c>
      <c r="D90" s="61" t="s">
        <v>97</v>
      </c>
      <c r="E90" s="66"/>
      <c r="F90" s="43">
        <v>2</v>
      </c>
      <c r="G90" s="66"/>
      <c r="H90" s="67"/>
    </row>
    <row r="91" spans="2:8" s="18" customFormat="1" ht="36.6" customHeight="1" x14ac:dyDescent="0.25">
      <c r="B91" s="60" t="s">
        <v>75</v>
      </c>
      <c r="C91" s="46"/>
      <c r="D91" s="47"/>
      <c r="E91" s="38"/>
      <c r="F91" s="39"/>
      <c r="G91" s="39"/>
      <c r="H91" s="39">
        <f xml:space="preserve"> SUM(E91:E111)</f>
        <v>3140000</v>
      </c>
    </row>
    <row r="92" spans="2:8" ht="29.25" customHeight="1" x14ac:dyDescent="0.25">
      <c r="B92" s="42">
        <v>1</v>
      </c>
      <c r="C92" s="65" t="s">
        <v>44</v>
      </c>
      <c r="D92" s="61" t="s">
        <v>97</v>
      </c>
      <c r="E92" s="62">
        <v>100000</v>
      </c>
      <c r="F92" s="43">
        <v>1</v>
      </c>
      <c r="G92" s="62">
        <f t="shared" ref="G92" si="9">F92*E92</f>
        <v>100000</v>
      </c>
      <c r="H92" s="63"/>
    </row>
    <row r="93" spans="2:8" ht="29.25" customHeight="1" x14ac:dyDescent="0.25">
      <c r="B93" s="42">
        <v>2</v>
      </c>
      <c r="C93" s="65" t="s">
        <v>45</v>
      </c>
      <c r="D93" s="61" t="s">
        <v>97</v>
      </c>
      <c r="E93" s="64"/>
      <c r="F93" s="43">
        <v>1</v>
      </c>
      <c r="G93" s="64"/>
      <c r="H93" s="63"/>
    </row>
    <row r="94" spans="2:8" ht="24.75" customHeight="1" x14ac:dyDescent="0.25">
      <c r="B94" s="42">
        <v>3</v>
      </c>
      <c r="C94" s="65" t="s">
        <v>46</v>
      </c>
      <c r="D94" s="61" t="s">
        <v>97</v>
      </c>
      <c r="E94" s="66"/>
      <c r="F94" s="43">
        <v>1</v>
      </c>
      <c r="G94" s="66"/>
      <c r="H94" s="63"/>
    </row>
    <row r="95" spans="2:8" ht="27" customHeight="1" x14ac:dyDescent="0.25">
      <c r="B95" s="42">
        <v>4</v>
      </c>
      <c r="C95" s="48" t="s">
        <v>76</v>
      </c>
      <c r="D95" s="61" t="s">
        <v>97</v>
      </c>
      <c r="E95" s="48">
        <v>150000</v>
      </c>
      <c r="F95" s="43">
        <v>1</v>
      </c>
      <c r="G95" s="48">
        <f t="shared" ref="G95:G110" si="10">F95*E95</f>
        <v>150000</v>
      </c>
      <c r="H95" s="63"/>
    </row>
    <row r="96" spans="2:8" ht="24.75" customHeight="1" x14ac:dyDescent="0.25">
      <c r="B96" s="42">
        <v>5</v>
      </c>
      <c r="C96" s="48" t="s">
        <v>77</v>
      </c>
      <c r="D96" s="61" t="s">
        <v>97</v>
      </c>
      <c r="E96" s="48">
        <v>150000</v>
      </c>
      <c r="F96" s="43">
        <v>1</v>
      </c>
      <c r="G96" s="48">
        <f t="shared" si="10"/>
        <v>150000</v>
      </c>
      <c r="H96" s="63"/>
    </row>
    <row r="97" spans="2:8" ht="24.75" customHeight="1" x14ac:dyDescent="0.25">
      <c r="B97" s="42">
        <v>6</v>
      </c>
      <c r="C97" s="48" t="s">
        <v>78</v>
      </c>
      <c r="D97" s="61" t="s">
        <v>97</v>
      </c>
      <c r="E97" s="48">
        <v>150000</v>
      </c>
      <c r="F97" s="43">
        <v>1</v>
      </c>
      <c r="G97" s="48">
        <f t="shared" si="10"/>
        <v>150000</v>
      </c>
      <c r="H97" s="63"/>
    </row>
    <row r="98" spans="2:8" ht="24.75" customHeight="1" x14ac:dyDescent="0.25">
      <c r="B98" s="42">
        <v>7</v>
      </c>
      <c r="C98" s="65" t="s">
        <v>79</v>
      </c>
      <c r="D98" s="61" t="s">
        <v>97</v>
      </c>
      <c r="E98" s="48">
        <v>350000</v>
      </c>
      <c r="F98" s="43">
        <v>1</v>
      </c>
      <c r="G98" s="48">
        <f t="shared" si="10"/>
        <v>350000</v>
      </c>
      <c r="H98" s="63"/>
    </row>
    <row r="99" spans="2:8" s="74" customFormat="1" ht="28.5" customHeight="1" x14ac:dyDescent="0.25">
      <c r="B99" s="70">
        <v>8</v>
      </c>
      <c r="C99" s="69" t="s">
        <v>80</v>
      </c>
      <c r="D99" s="71" t="s">
        <v>97</v>
      </c>
      <c r="E99" s="68">
        <v>350000</v>
      </c>
      <c r="F99" s="72">
        <v>1</v>
      </c>
      <c r="G99" s="68">
        <f t="shared" si="10"/>
        <v>350000</v>
      </c>
      <c r="H99" s="73" t="s">
        <v>101</v>
      </c>
    </row>
    <row r="100" spans="2:8" s="74" customFormat="1" ht="22.5" customHeight="1" x14ac:dyDescent="0.25">
      <c r="B100" s="70">
        <v>9</v>
      </c>
      <c r="C100" s="68" t="s">
        <v>81</v>
      </c>
      <c r="D100" s="71" t="s">
        <v>97</v>
      </c>
      <c r="E100" s="68">
        <v>350000</v>
      </c>
      <c r="F100" s="72">
        <v>1</v>
      </c>
      <c r="G100" s="68">
        <f t="shared" si="10"/>
        <v>350000</v>
      </c>
      <c r="H100" s="73" t="s">
        <v>101</v>
      </c>
    </row>
    <row r="101" spans="2:8" ht="29.25" customHeight="1" x14ac:dyDescent="0.25">
      <c r="B101" s="42">
        <v>10</v>
      </c>
      <c r="C101" s="48" t="s">
        <v>49</v>
      </c>
      <c r="D101" s="61" t="s">
        <v>97</v>
      </c>
      <c r="E101" s="48">
        <v>150000</v>
      </c>
      <c r="F101" s="43">
        <v>1</v>
      </c>
      <c r="G101" s="48">
        <f t="shared" si="10"/>
        <v>150000</v>
      </c>
      <c r="H101" s="63"/>
    </row>
    <row r="102" spans="2:8" ht="29.25" customHeight="1" x14ac:dyDescent="0.25">
      <c r="B102" s="42">
        <v>11</v>
      </c>
      <c r="C102" s="48" t="s">
        <v>50</v>
      </c>
      <c r="D102" s="61" t="s">
        <v>97</v>
      </c>
      <c r="E102" s="48">
        <v>150000</v>
      </c>
      <c r="F102" s="43">
        <v>1</v>
      </c>
      <c r="G102" s="48">
        <f t="shared" si="10"/>
        <v>150000</v>
      </c>
      <c r="H102" s="63"/>
    </row>
    <row r="103" spans="2:8" ht="29.25" customHeight="1" x14ac:dyDescent="0.25">
      <c r="B103" s="42">
        <v>12</v>
      </c>
      <c r="C103" s="48" t="s">
        <v>51</v>
      </c>
      <c r="D103" s="61" t="s">
        <v>97</v>
      </c>
      <c r="E103" s="48">
        <v>150000</v>
      </c>
      <c r="F103" s="43">
        <v>1</v>
      </c>
      <c r="G103" s="48">
        <f t="shared" si="10"/>
        <v>150000</v>
      </c>
      <c r="H103" s="63"/>
    </row>
    <row r="104" spans="2:8" ht="29.25" customHeight="1" x14ac:dyDescent="0.25">
      <c r="B104" s="42">
        <v>13</v>
      </c>
      <c r="C104" s="48" t="s">
        <v>52</v>
      </c>
      <c r="D104" s="61" t="s">
        <v>97</v>
      </c>
      <c r="E104" s="48">
        <v>150000</v>
      </c>
      <c r="F104" s="43">
        <v>1</v>
      </c>
      <c r="G104" s="48">
        <f t="shared" si="10"/>
        <v>150000</v>
      </c>
      <c r="H104" s="63"/>
    </row>
    <row r="105" spans="2:8" ht="29.25" customHeight="1" x14ac:dyDescent="0.25">
      <c r="B105" s="42">
        <v>14</v>
      </c>
      <c r="C105" s="48" t="s">
        <v>53</v>
      </c>
      <c r="D105" s="61" t="s">
        <v>97</v>
      </c>
      <c r="E105" s="48">
        <v>80000</v>
      </c>
      <c r="F105" s="43">
        <v>1</v>
      </c>
      <c r="G105" s="48">
        <f t="shared" si="10"/>
        <v>80000</v>
      </c>
      <c r="H105" s="63"/>
    </row>
    <row r="106" spans="2:8" ht="29.25" customHeight="1" x14ac:dyDescent="0.25">
      <c r="B106" s="42">
        <v>15</v>
      </c>
      <c r="C106" s="48" t="s">
        <v>54</v>
      </c>
      <c r="D106" s="61" t="s">
        <v>97</v>
      </c>
      <c r="E106" s="48">
        <v>80000</v>
      </c>
      <c r="F106" s="43">
        <v>1</v>
      </c>
      <c r="G106" s="48">
        <f t="shared" si="10"/>
        <v>80000</v>
      </c>
      <c r="H106" s="63"/>
    </row>
    <row r="107" spans="2:8" ht="29.25" customHeight="1" x14ac:dyDescent="0.25">
      <c r="B107" s="42">
        <v>16</v>
      </c>
      <c r="C107" s="48" t="s">
        <v>55</v>
      </c>
      <c r="D107" s="61" t="s">
        <v>97</v>
      </c>
      <c r="E107" s="48">
        <v>80000</v>
      </c>
      <c r="F107" s="43">
        <v>1</v>
      </c>
      <c r="G107" s="48">
        <f t="shared" si="10"/>
        <v>80000</v>
      </c>
      <c r="H107" s="63"/>
    </row>
    <row r="108" spans="2:8" ht="29.25" customHeight="1" x14ac:dyDescent="0.25">
      <c r="B108" s="42">
        <v>17</v>
      </c>
      <c r="C108" s="48" t="s">
        <v>56</v>
      </c>
      <c r="D108" s="61" t="s">
        <v>97</v>
      </c>
      <c r="E108" s="48">
        <v>120000</v>
      </c>
      <c r="F108" s="43">
        <v>1</v>
      </c>
      <c r="G108" s="48">
        <f t="shared" si="10"/>
        <v>120000</v>
      </c>
      <c r="H108" s="63"/>
    </row>
    <row r="109" spans="2:8" ht="29.25" customHeight="1" x14ac:dyDescent="0.25">
      <c r="B109" s="42">
        <v>18</v>
      </c>
      <c r="C109" s="48" t="s">
        <v>59</v>
      </c>
      <c r="D109" s="61" t="s">
        <v>97</v>
      </c>
      <c r="E109" s="48">
        <v>80000</v>
      </c>
      <c r="F109" s="43">
        <v>1</v>
      </c>
      <c r="G109" s="48">
        <f t="shared" si="10"/>
        <v>80000</v>
      </c>
      <c r="H109" s="67"/>
    </row>
    <row r="110" spans="2:8" ht="29.25" customHeight="1" x14ac:dyDescent="0.25">
      <c r="B110" s="42">
        <v>19</v>
      </c>
      <c r="C110" s="65" t="s">
        <v>60</v>
      </c>
      <c r="D110" s="61" t="s">
        <v>97</v>
      </c>
      <c r="E110" s="62">
        <v>500000</v>
      </c>
      <c r="F110" s="43">
        <v>1</v>
      </c>
      <c r="G110" s="62">
        <f t="shared" si="10"/>
        <v>500000</v>
      </c>
      <c r="H110" s="67"/>
    </row>
    <row r="111" spans="2:8" ht="29.25" customHeight="1" x14ac:dyDescent="0.25">
      <c r="B111" s="42">
        <v>20</v>
      </c>
      <c r="C111" s="48" t="s">
        <v>61</v>
      </c>
      <c r="D111" s="61" t="s">
        <v>97</v>
      </c>
      <c r="E111" s="66"/>
      <c r="F111" s="43">
        <v>1</v>
      </c>
      <c r="G111" s="66"/>
      <c r="H111" s="67"/>
    </row>
    <row r="112" spans="2:8" s="18" customFormat="1" ht="36.6" customHeight="1" x14ac:dyDescent="0.25">
      <c r="B112" s="60" t="s">
        <v>82</v>
      </c>
      <c r="C112" s="46"/>
      <c r="D112" s="47"/>
      <c r="E112" s="38"/>
      <c r="F112" s="39"/>
      <c r="G112" s="39"/>
      <c r="H112" s="39">
        <f xml:space="preserve"> SUM(E113:E126)</f>
        <v>2750000</v>
      </c>
    </row>
    <row r="113" spans="2:8" s="18" customFormat="1" ht="36.6" customHeight="1" x14ac:dyDescent="0.25">
      <c r="B113" s="42">
        <v>1</v>
      </c>
      <c r="C113" s="65" t="s">
        <v>44</v>
      </c>
      <c r="D113" s="61" t="s">
        <v>97</v>
      </c>
      <c r="E113" s="62">
        <v>100000</v>
      </c>
      <c r="F113" s="43">
        <v>1</v>
      </c>
      <c r="G113" s="62">
        <f t="shared" ref="G113" si="11">F113*E113</f>
        <v>100000</v>
      </c>
      <c r="H113" s="63"/>
    </row>
    <row r="114" spans="2:8" ht="24.75" customHeight="1" x14ac:dyDescent="0.25">
      <c r="B114" s="42">
        <v>2</v>
      </c>
      <c r="C114" s="65" t="s">
        <v>45</v>
      </c>
      <c r="D114" s="61" t="s">
        <v>97</v>
      </c>
      <c r="E114" s="64"/>
      <c r="F114" s="43">
        <v>1</v>
      </c>
      <c r="G114" s="64"/>
      <c r="H114" s="63"/>
    </row>
    <row r="115" spans="2:8" ht="24.75" customHeight="1" x14ac:dyDescent="0.25">
      <c r="B115" s="42">
        <v>3</v>
      </c>
      <c r="C115" s="65" t="s">
        <v>46</v>
      </c>
      <c r="D115" s="61" t="s">
        <v>97</v>
      </c>
      <c r="E115" s="66"/>
      <c r="F115" s="43">
        <v>1</v>
      </c>
      <c r="G115" s="66"/>
      <c r="H115" s="63"/>
    </row>
    <row r="116" spans="2:8" ht="28.5" customHeight="1" x14ac:dyDescent="0.25">
      <c r="B116" s="42">
        <v>10</v>
      </c>
      <c r="C116" s="48" t="s">
        <v>83</v>
      </c>
      <c r="D116" s="61" t="s">
        <v>97</v>
      </c>
      <c r="E116" s="48">
        <v>500000</v>
      </c>
      <c r="F116" s="43">
        <v>1</v>
      </c>
      <c r="G116" s="48">
        <f t="shared" ref="G116:G126" si="12">F116*E116</f>
        <v>500000</v>
      </c>
      <c r="H116" s="63"/>
    </row>
    <row r="117" spans="2:8" ht="22.5" customHeight="1" x14ac:dyDescent="0.25">
      <c r="B117" s="42">
        <v>11</v>
      </c>
      <c r="C117" s="48" t="s">
        <v>84</v>
      </c>
      <c r="D117" s="61" t="s">
        <v>97</v>
      </c>
      <c r="E117" s="48">
        <v>400000</v>
      </c>
      <c r="F117" s="43">
        <v>1</v>
      </c>
      <c r="G117" s="48">
        <f t="shared" si="12"/>
        <v>400000</v>
      </c>
      <c r="H117" s="63"/>
    </row>
    <row r="118" spans="2:8" ht="29.25" customHeight="1" x14ac:dyDescent="0.25">
      <c r="B118" s="42">
        <v>12</v>
      </c>
      <c r="C118" s="68" t="s">
        <v>85</v>
      </c>
      <c r="D118" s="61" t="s">
        <v>97</v>
      </c>
      <c r="E118" s="48">
        <v>400000</v>
      </c>
      <c r="F118" s="43">
        <v>1</v>
      </c>
      <c r="G118" s="48">
        <f t="shared" si="12"/>
        <v>400000</v>
      </c>
      <c r="H118" s="63"/>
    </row>
    <row r="119" spans="2:8" ht="29.25" customHeight="1" x14ac:dyDescent="0.25">
      <c r="B119" s="42">
        <v>10</v>
      </c>
      <c r="C119" s="48" t="s">
        <v>86</v>
      </c>
      <c r="D119" s="61" t="s">
        <v>97</v>
      </c>
      <c r="E119" s="48">
        <v>350000</v>
      </c>
      <c r="F119" s="43">
        <v>1</v>
      </c>
      <c r="G119" s="48">
        <f t="shared" si="12"/>
        <v>350000</v>
      </c>
      <c r="H119" s="63"/>
    </row>
    <row r="120" spans="2:8" s="74" customFormat="1" ht="49.5" customHeight="1" x14ac:dyDescent="0.25">
      <c r="B120" s="70">
        <v>11</v>
      </c>
      <c r="C120" s="68" t="s">
        <v>99</v>
      </c>
      <c r="D120" s="71" t="s">
        <v>97</v>
      </c>
      <c r="E120" s="68">
        <v>400000</v>
      </c>
      <c r="F120" s="72">
        <v>1</v>
      </c>
      <c r="G120" s="68">
        <f t="shared" si="12"/>
        <v>400000</v>
      </c>
      <c r="H120" s="73" t="s">
        <v>100</v>
      </c>
    </row>
    <row r="121" spans="2:8" s="74" customFormat="1" ht="29.25" customHeight="1" x14ac:dyDescent="0.25">
      <c r="B121" s="70">
        <v>12</v>
      </c>
      <c r="C121" s="68" t="s">
        <v>87</v>
      </c>
      <c r="D121" s="71" t="s">
        <v>97</v>
      </c>
      <c r="E121" s="68"/>
      <c r="F121" s="72">
        <v>1</v>
      </c>
      <c r="G121" s="68">
        <f t="shared" si="12"/>
        <v>0</v>
      </c>
      <c r="H121" s="73" t="s">
        <v>98</v>
      </c>
    </row>
    <row r="122" spans="2:8" s="74" customFormat="1" ht="29.25" customHeight="1" x14ac:dyDescent="0.25">
      <c r="B122" s="70">
        <v>13</v>
      </c>
      <c r="C122" s="68" t="s">
        <v>88</v>
      </c>
      <c r="D122" s="71" t="s">
        <v>97</v>
      </c>
      <c r="E122" s="68"/>
      <c r="F122" s="72">
        <v>1</v>
      </c>
      <c r="G122" s="68">
        <f t="shared" si="12"/>
        <v>0</v>
      </c>
      <c r="H122" s="73" t="s">
        <v>98</v>
      </c>
    </row>
    <row r="123" spans="2:8" ht="29.25" customHeight="1" x14ac:dyDescent="0.25">
      <c r="B123" s="42">
        <v>10</v>
      </c>
      <c r="C123" s="48" t="s">
        <v>49</v>
      </c>
      <c r="D123" s="61" t="s">
        <v>97</v>
      </c>
      <c r="E123" s="48">
        <v>150000</v>
      </c>
      <c r="F123" s="43">
        <v>1</v>
      </c>
      <c r="G123" s="48">
        <f t="shared" si="12"/>
        <v>150000</v>
      </c>
      <c r="H123" s="63"/>
    </row>
    <row r="124" spans="2:8" ht="29.25" customHeight="1" x14ac:dyDescent="0.25">
      <c r="B124" s="42">
        <v>11</v>
      </c>
      <c r="C124" s="48" t="s">
        <v>50</v>
      </c>
      <c r="D124" s="61" t="s">
        <v>97</v>
      </c>
      <c r="E124" s="48">
        <v>150000</v>
      </c>
      <c r="F124" s="43">
        <v>1</v>
      </c>
      <c r="G124" s="48">
        <f t="shared" si="12"/>
        <v>150000</v>
      </c>
      <c r="H124" s="63"/>
    </row>
    <row r="125" spans="2:8" ht="29.25" customHeight="1" x14ac:dyDescent="0.25">
      <c r="B125" s="42">
        <v>12</v>
      </c>
      <c r="C125" s="48" t="s">
        <v>51</v>
      </c>
      <c r="D125" s="61" t="s">
        <v>97</v>
      </c>
      <c r="E125" s="48">
        <v>150000</v>
      </c>
      <c r="F125" s="43">
        <v>1</v>
      </c>
      <c r="G125" s="48">
        <f t="shared" si="12"/>
        <v>150000</v>
      </c>
      <c r="H125" s="63"/>
    </row>
    <row r="126" spans="2:8" ht="29.25" customHeight="1" x14ac:dyDescent="0.25">
      <c r="B126" s="42">
        <v>13</v>
      </c>
      <c r="C126" s="48" t="s">
        <v>52</v>
      </c>
      <c r="D126" s="61" t="s">
        <v>97</v>
      </c>
      <c r="E126" s="48">
        <v>150000</v>
      </c>
      <c r="F126" s="43">
        <v>1</v>
      </c>
      <c r="G126" s="48">
        <f t="shared" si="12"/>
        <v>150000</v>
      </c>
      <c r="H126" s="63"/>
    </row>
    <row r="127" spans="2:8" ht="29.25" customHeight="1" x14ac:dyDescent="0.25">
      <c r="B127" s="60" t="s">
        <v>89</v>
      </c>
      <c r="C127" s="46"/>
      <c r="D127" s="47"/>
      <c r="E127" s="38"/>
      <c r="F127" s="39"/>
      <c r="G127" s="39"/>
      <c r="H127" s="39">
        <f xml:space="preserve"> SUM(E128:E147)</f>
        <v>2370000</v>
      </c>
    </row>
    <row r="128" spans="2:8" ht="29.25" customHeight="1" x14ac:dyDescent="0.25">
      <c r="B128" s="42">
        <v>1</v>
      </c>
      <c r="C128" s="48" t="s">
        <v>39</v>
      </c>
      <c r="D128" s="61" t="s">
        <v>97</v>
      </c>
      <c r="E128" s="62">
        <v>500000</v>
      </c>
      <c r="F128" s="43">
        <v>1</v>
      </c>
      <c r="G128" s="62">
        <f t="shared" ref="G128" si="13">F128*E128</f>
        <v>500000</v>
      </c>
      <c r="H128" s="63"/>
    </row>
    <row r="129" spans="2:8" s="74" customFormat="1" ht="29.25" customHeight="1" x14ac:dyDescent="0.25">
      <c r="B129" s="70">
        <v>2</v>
      </c>
      <c r="C129" s="68" t="s">
        <v>40</v>
      </c>
      <c r="D129" s="71" t="s">
        <v>97</v>
      </c>
      <c r="E129" s="64"/>
      <c r="F129" s="72">
        <v>1</v>
      </c>
      <c r="G129" s="64"/>
      <c r="H129" s="73"/>
    </row>
    <row r="130" spans="2:8" ht="29.25" customHeight="1" x14ac:dyDescent="0.25">
      <c r="B130" s="42">
        <v>3</v>
      </c>
      <c r="C130" s="65" t="s">
        <v>41</v>
      </c>
      <c r="D130" s="61" t="s">
        <v>97</v>
      </c>
      <c r="E130" s="64"/>
      <c r="F130" s="43">
        <v>1</v>
      </c>
      <c r="G130" s="64"/>
      <c r="H130" s="63"/>
    </row>
    <row r="131" spans="2:8" ht="28.5" customHeight="1" x14ac:dyDescent="0.25">
      <c r="B131" s="42">
        <v>4</v>
      </c>
      <c r="C131" s="65" t="s">
        <v>42</v>
      </c>
      <c r="D131" s="61" t="s">
        <v>97</v>
      </c>
      <c r="E131" s="66"/>
      <c r="F131" s="43">
        <v>1</v>
      </c>
      <c r="G131" s="66"/>
      <c r="H131" s="63"/>
    </row>
    <row r="132" spans="2:8" ht="28.5" customHeight="1" x14ac:dyDescent="0.25">
      <c r="B132" s="42">
        <v>5</v>
      </c>
      <c r="C132" s="65" t="s">
        <v>90</v>
      </c>
      <c r="D132" s="61" t="s">
        <v>97</v>
      </c>
      <c r="E132" s="48">
        <v>150000</v>
      </c>
      <c r="F132" s="43">
        <v>1</v>
      </c>
      <c r="G132" s="48">
        <f t="shared" ref="G132:G133" si="14">F132*E132</f>
        <v>150000</v>
      </c>
      <c r="H132" s="63"/>
    </row>
    <row r="133" spans="2:8" ht="28.5" customHeight="1" x14ac:dyDescent="0.25">
      <c r="B133" s="42">
        <v>6</v>
      </c>
      <c r="C133" s="65" t="s">
        <v>44</v>
      </c>
      <c r="D133" s="61" t="s">
        <v>97</v>
      </c>
      <c r="E133" s="62">
        <v>100000</v>
      </c>
      <c r="F133" s="43">
        <v>1</v>
      </c>
      <c r="G133" s="62">
        <f t="shared" si="14"/>
        <v>100000</v>
      </c>
      <c r="H133" s="63"/>
    </row>
    <row r="134" spans="2:8" ht="28.5" customHeight="1" x14ac:dyDescent="0.25">
      <c r="B134" s="42">
        <v>7</v>
      </c>
      <c r="C134" s="65" t="s">
        <v>45</v>
      </c>
      <c r="D134" s="61" t="s">
        <v>97</v>
      </c>
      <c r="E134" s="64"/>
      <c r="F134" s="43">
        <v>1</v>
      </c>
      <c r="G134" s="64"/>
      <c r="H134" s="63"/>
    </row>
    <row r="135" spans="2:8" ht="28.5" customHeight="1" x14ac:dyDescent="0.25">
      <c r="B135" s="42">
        <v>8</v>
      </c>
      <c r="C135" s="65" t="s">
        <v>46</v>
      </c>
      <c r="D135" s="61" t="s">
        <v>97</v>
      </c>
      <c r="E135" s="66"/>
      <c r="F135" s="43">
        <v>1</v>
      </c>
      <c r="G135" s="66"/>
      <c r="H135" s="63"/>
    </row>
    <row r="136" spans="2:8" ht="28.5" customHeight="1" x14ac:dyDescent="0.25">
      <c r="B136" s="42">
        <v>9</v>
      </c>
      <c r="C136" s="65" t="s">
        <v>47</v>
      </c>
      <c r="D136" s="61" t="s">
        <v>97</v>
      </c>
      <c r="E136" s="48">
        <v>80000</v>
      </c>
      <c r="F136" s="43">
        <v>1</v>
      </c>
      <c r="G136" s="48">
        <f t="shared" ref="G136:G146" si="15">F136*E136</f>
        <v>80000</v>
      </c>
      <c r="H136" s="63"/>
    </row>
    <row r="137" spans="2:8" ht="28.5" customHeight="1" x14ac:dyDescent="0.25">
      <c r="B137" s="42">
        <v>12</v>
      </c>
      <c r="C137" s="48" t="s">
        <v>49</v>
      </c>
      <c r="D137" s="61" t="s">
        <v>97</v>
      </c>
      <c r="E137" s="48">
        <v>150000</v>
      </c>
      <c r="F137" s="43">
        <v>1</v>
      </c>
      <c r="G137" s="48">
        <f t="shared" si="15"/>
        <v>150000</v>
      </c>
      <c r="H137" s="63"/>
    </row>
    <row r="138" spans="2:8" ht="28.5" customHeight="1" x14ac:dyDescent="0.25">
      <c r="B138" s="42">
        <v>13</v>
      </c>
      <c r="C138" s="48" t="s">
        <v>50</v>
      </c>
      <c r="D138" s="61" t="s">
        <v>97</v>
      </c>
      <c r="E138" s="48">
        <v>150000</v>
      </c>
      <c r="F138" s="43">
        <v>1</v>
      </c>
      <c r="G138" s="48">
        <f t="shared" si="15"/>
        <v>150000</v>
      </c>
      <c r="H138" s="63"/>
    </row>
    <row r="139" spans="2:8" ht="28.5" customHeight="1" x14ac:dyDescent="0.25">
      <c r="B139" s="42">
        <v>14</v>
      </c>
      <c r="C139" s="48" t="s">
        <v>51</v>
      </c>
      <c r="D139" s="61" t="s">
        <v>97</v>
      </c>
      <c r="E139" s="48">
        <v>150000</v>
      </c>
      <c r="F139" s="43">
        <v>1</v>
      </c>
      <c r="G139" s="48">
        <f t="shared" si="15"/>
        <v>150000</v>
      </c>
      <c r="H139" s="63"/>
    </row>
    <row r="140" spans="2:8" ht="28.5" customHeight="1" x14ac:dyDescent="0.25">
      <c r="B140" s="42">
        <v>15</v>
      </c>
      <c r="C140" s="48" t="s">
        <v>52</v>
      </c>
      <c r="D140" s="61" t="s">
        <v>97</v>
      </c>
      <c r="E140" s="48">
        <v>150000</v>
      </c>
      <c r="F140" s="43">
        <v>1</v>
      </c>
      <c r="G140" s="48">
        <f t="shared" si="15"/>
        <v>150000</v>
      </c>
      <c r="H140" s="63"/>
    </row>
    <row r="141" spans="2:8" ht="28.5" customHeight="1" x14ac:dyDescent="0.25">
      <c r="B141" s="42">
        <v>16</v>
      </c>
      <c r="C141" s="48" t="s">
        <v>53</v>
      </c>
      <c r="D141" s="61" t="s">
        <v>97</v>
      </c>
      <c r="E141" s="48">
        <v>80000</v>
      </c>
      <c r="F141" s="43">
        <v>1</v>
      </c>
      <c r="G141" s="48">
        <f t="shared" si="15"/>
        <v>80000</v>
      </c>
      <c r="H141" s="63"/>
    </row>
    <row r="142" spans="2:8" ht="28.5" customHeight="1" x14ac:dyDescent="0.25">
      <c r="B142" s="42">
        <v>17</v>
      </c>
      <c r="C142" s="48" t="s">
        <v>54</v>
      </c>
      <c r="D142" s="61" t="s">
        <v>97</v>
      </c>
      <c r="E142" s="48">
        <v>80000</v>
      </c>
      <c r="F142" s="43">
        <v>1</v>
      </c>
      <c r="G142" s="48">
        <f t="shared" si="15"/>
        <v>80000</v>
      </c>
      <c r="H142" s="63"/>
    </row>
    <row r="143" spans="2:8" ht="28.5" customHeight="1" x14ac:dyDescent="0.25">
      <c r="B143" s="42">
        <v>18</v>
      </c>
      <c r="C143" s="48" t="s">
        <v>55</v>
      </c>
      <c r="D143" s="61" t="s">
        <v>97</v>
      </c>
      <c r="E143" s="48">
        <v>80000</v>
      </c>
      <c r="F143" s="43">
        <v>1</v>
      </c>
      <c r="G143" s="48">
        <f t="shared" si="15"/>
        <v>80000</v>
      </c>
      <c r="H143" s="63"/>
    </row>
    <row r="144" spans="2:8" ht="28.5" customHeight="1" x14ac:dyDescent="0.25">
      <c r="B144" s="42">
        <v>19</v>
      </c>
      <c r="C144" s="48" t="s">
        <v>56</v>
      </c>
      <c r="D144" s="61" t="s">
        <v>97</v>
      </c>
      <c r="E144" s="48">
        <v>120000</v>
      </c>
      <c r="F144" s="43">
        <v>1</v>
      </c>
      <c r="G144" s="48">
        <f t="shared" si="15"/>
        <v>120000</v>
      </c>
      <c r="H144" s="63"/>
    </row>
    <row r="145" spans="2:8" ht="28.5" customHeight="1" x14ac:dyDescent="0.25">
      <c r="B145" s="42">
        <v>22</v>
      </c>
      <c r="C145" s="48" t="s">
        <v>59</v>
      </c>
      <c r="D145" s="61" t="s">
        <v>97</v>
      </c>
      <c r="E145" s="48">
        <v>80000</v>
      </c>
      <c r="F145" s="43">
        <v>1</v>
      </c>
      <c r="G145" s="48">
        <f t="shared" si="15"/>
        <v>80000</v>
      </c>
      <c r="H145" s="67"/>
    </row>
    <row r="146" spans="2:8" ht="28.5" customHeight="1" x14ac:dyDescent="0.25">
      <c r="B146" s="42">
        <v>23</v>
      </c>
      <c r="C146" s="65" t="s">
        <v>60</v>
      </c>
      <c r="D146" s="61" t="s">
        <v>97</v>
      </c>
      <c r="E146" s="62">
        <v>500000</v>
      </c>
      <c r="F146" s="43">
        <v>1</v>
      </c>
      <c r="G146" s="62">
        <f t="shared" si="15"/>
        <v>500000</v>
      </c>
      <c r="H146" s="67"/>
    </row>
    <row r="147" spans="2:8" ht="28.5" customHeight="1" x14ac:dyDescent="0.25">
      <c r="B147" s="42">
        <v>24</v>
      </c>
      <c r="C147" s="48" t="s">
        <v>61</v>
      </c>
      <c r="D147" s="61" t="s">
        <v>97</v>
      </c>
      <c r="E147" s="66"/>
      <c r="F147" s="43">
        <v>1</v>
      </c>
      <c r="G147" s="66"/>
      <c r="H147" s="67"/>
    </row>
    <row r="148" spans="2:8" ht="28.5" customHeight="1" x14ac:dyDescent="0.25">
      <c r="B148" s="60" t="s">
        <v>91</v>
      </c>
      <c r="C148" s="46"/>
      <c r="D148" s="47"/>
      <c r="E148" s="38"/>
      <c r="F148" s="39"/>
      <c r="G148" s="39"/>
      <c r="H148" s="39">
        <f xml:space="preserve"> SUM(E148:E166)</f>
        <v>2220000</v>
      </c>
    </row>
    <row r="149" spans="2:8" ht="28.5" customHeight="1" x14ac:dyDescent="0.25">
      <c r="B149" s="60" t="s">
        <v>92</v>
      </c>
      <c r="C149" s="46"/>
      <c r="D149" s="47"/>
      <c r="E149" s="38"/>
      <c r="F149" s="39"/>
      <c r="G149" s="39"/>
      <c r="H149" s="39">
        <f xml:space="preserve"> SUM(E148:E166)</f>
        <v>2220000</v>
      </c>
    </row>
    <row r="150" spans="2:8" ht="28.5" customHeight="1" x14ac:dyDescent="0.25">
      <c r="B150" s="42">
        <v>1</v>
      </c>
      <c r="C150" s="65" t="s">
        <v>44</v>
      </c>
      <c r="D150" s="61" t="s">
        <v>97</v>
      </c>
      <c r="E150" s="62">
        <v>100000</v>
      </c>
      <c r="F150" s="43">
        <v>2</v>
      </c>
      <c r="G150" s="62">
        <f t="shared" ref="G150" si="16">F150*E150</f>
        <v>200000</v>
      </c>
      <c r="H150" s="63"/>
    </row>
    <row r="151" spans="2:8" ht="28.5" customHeight="1" x14ac:dyDescent="0.25">
      <c r="B151" s="42">
        <v>2</v>
      </c>
      <c r="C151" s="65" t="s">
        <v>45</v>
      </c>
      <c r="D151" s="61" t="s">
        <v>97</v>
      </c>
      <c r="E151" s="64"/>
      <c r="F151" s="43">
        <v>2</v>
      </c>
      <c r="G151" s="64"/>
      <c r="H151" s="63"/>
    </row>
    <row r="152" spans="2:8" ht="28.5" customHeight="1" x14ac:dyDescent="0.25">
      <c r="B152" s="42">
        <v>3</v>
      </c>
      <c r="C152" s="65" t="s">
        <v>93</v>
      </c>
      <c r="D152" s="61" t="s">
        <v>97</v>
      </c>
      <c r="E152" s="66"/>
      <c r="F152" s="43">
        <v>2</v>
      </c>
      <c r="G152" s="66"/>
      <c r="H152" s="63"/>
    </row>
    <row r="153" spans="2:8" ht="28.5" customHeight="1" x14ac:dyDescent="0.25">
      <c r="B153" s="42">
        <v>4</v>
      </c>
      <c r="C153" s="65" t="s">
        <v>47</v>
      </c>
      <c r="D153" s="61" t="s">
        <v>97</v>
      </c>
      <c r="E153" s="48">
        <v>80000</v>
      </c>
      <c r="F153" s="43">
        <v>2</v>
      </c>
      <c r="G153" s="48">
        <f t="shared" ref="G153:G165" si="17">F153*E153</f>
        <v>160000</v>
      </c>
      <c r="H153" s="63"/>
    </row>
    <row r="154" spans="2:8" ht="28.5" customHeight="1" x14ac:dyDescent="0.25">
      <c r="B154" s="42">
        <v>5</v>
      </c>
      <c r="C154" s="48" t="s">
        <v>94</v>
      </c>
      <c r="D154" s="61" t="s">
        <v>97</v>
      </c>
      <c r="E154" s="48">
        <v>350000</v>
      </c>
      <c r="F154" s="43">
        <v>2</v>
      </c>
      <c r="G154" s="48">
        <f>F154*E154</f>
        <v>700000</v>
      </c>
      <c r="H154" s="63"/>
    </row>
    <row r="155" spans="2:8" ht="28.5" customHeight="1" x14ac:dyDescent="0.25">
      <c r="B155" s="42">
        <v>6</v>
      </c>
      <c r="C155" s="48" t="s">
        <v>95</v>
      </c>
      <c r="D155" s="61" t="s">
        <v>97</v>
      </c>
      <c r="E155" s="48">
        <v>150000</v>
      </c>
      <c r="F155" s="43">
        <v>2</v>
      </c>
      <c r="G155" s="48">
        <f t="shared" ref="G155:G157" si="18">F155*E155</f>
        <v>300000</v>
      </c>
      <c r="H155" s="63"/>
    </row>
    <row r="156" spans="2:8" ht="28.5" customHeight="1" x14ac:dyDescent="0.25">
      <c r="B156" s="42">
        <v>7</v>
      </c>
      <c r="C156" s="48" t="s">
        <v>96</v>
      </c>
      <c r="D156" s="61" t="s">
        <v>97</v>
      </c>
      <c r="E156" s="48">
        <v>150000</v>
      </c>
      <c r="F156" s="43">
        <v>2</v>
      </c>
      <c r="G156" s="48">
        <f t="shared" si="18"/>
        <v>300000</v>
      </c>
      <c r="H156" s="63"/>
    </row>
    <row r="157" spans="2:8" ht="28.5" customHeight="1" x14ac:dyDescent="0.25">
      <c r="B157" s="42">
        <v>9</v>
      </c>
      <c r="C157" s="48" t="s">
        <v>49</v>
      </c>
      <c r="D157" s="61" t="s">
        <v>97</v>
      </c>
      <c r="E157" s="48">
        <v>150000</v>
      </c>
      <c r="F157" s="43">
        <v>2</v>
      </c>
      <c r="G157" s="48">
        <f t="shared" si="18"/>
        <v>300000</v>
      </c>
      <c r="H157" s="63"/>
    </row>
    <row r="158" spans="2:8" ht="28.5" customHeight="1" x14ac:dyDescent="0.25">
      <c r="B158" s="42">
        <v>10</v>
      </c>
      <c r="C158" s="48" t="s">
        <v>50</v>
      </c>
      <c r="D158" s="61" t="s">
        <v>97</v>
      </c>
      <c r="E158" s="48">
        <v>150000</v>
      </c>
      <c r="F158" s="43">
        <v>2</v>
      </c>
      <c r="G158" s="48">
        <f t="shared" si="17"/>
        <v>300000</v>
      </c>
      <c r="H158" s="63"/>
    </row>
    <row r="159" spans="2:8" ht="28.5" customHeight="1" x14ac:dyDescent="0.25">
      <c r="B159" s="42">
        <v>11</v>
      </c>
      <c r="C159" s="48" t="s">
        <v>51</v>
      </c>
      <c r="D159" s="61" t="s">
        <v>97</v>
      </c>
      <c r="E159" s="48">
        <v>150000</v>
      </c>
      <c r="F159" s="43">
        <v>2</v>
      </c>
      <c r="G159" s="48">
        <f t="shared" si="17"/>
        <v>300000</v>
      </c>
      <c r="H159" s="63"/>
    </row>
    <row r="160" spans="2:8" ht="28.5" customHeight="1" x14ac:dyDescent="0.25">
      <c r="B160" s="42">
        <v>12</v>
      </c>
      <c r="C160" s="48" t="s">
        <v>53</v>
      </c>
      <c r="D160" s="61" t="s">
        <v>97</v>
      </c>
      <c r="E160" s="48">
        <v>80000</v>
      </c>
      <c r="F160" s="43">
        <v>2</v>
      </c>
      <c r="G160" s="48">
        <f t="shared" si="17"/>
        <v>160000</v>
      </c>
      <c r="H160" s="63"/>
    </row>
    <row r="161" spans="2:8" ht="28.5" customHeight="1" x14ac:dyDescent="0.25">
      <c r="B161" s="42">
        <v>13</v>
      </c>
      <c r="C161" s="48" t="s">
        <v>54</v>
      </c>
      <c r="D161" s="61" t="s">
        <v>97</v>
      </c>
      <c r="E161" s="48">
        <v>80000</v>
      </c>
      <c r="F161" s="43">
        <v>2</v>
      </c>
      <c r="G161" s="48">
        <f t="shared" si="17"/>
        <v>160000</v>
      </c>
      <c r="H161" s="63"/>
    </row>
    <row r="162" spans="2:8" ht="28.5" customHeight="1" x14ac:dyDescent="0.25">
      <c r="B162" s="42">
        <v>14</v>
      </c>
      <c r="C162" s="48" t="s">
        <v>55</v>
      </c>
      <c r="D162" s="61" t="s">
        <v>97</v>
      </c>
      <c r="E162" s="48">
        <v>80000</v>
      </c>
      <c r="F162" s="43">
        <v>2</v>
      </c>
      <c r="G162" s="48">
        <f t="shared" si="17"/>
        <v>160000</v>
      </c>
      <c r="H162" s="63"/>
    </row>
    <row r="163" spans="2:8" ht="28.5" customHeight="1" x14ac:dyDescent="0.25">
      <c r="B163" s="42">
        <v>15</v>
      </c>
      <c r="C163" s="48" t="s">
        <v>56</v>
      </c>
      <c r="D163" s="61" t="s">
        <v>97</v>
      </c>
      <c r="E163" s="48">
        <v>120000</v>
      </c>
      <c r="F163" s="43">
        <v>2</v>
      </c>
      <c r="G163" s="48">
        <f t="shared" si="17"/>
        <v>240000</v>
      </c>
      <c r="H163" s="63"/>
    </row>
    <row r="164" spans="2:8" ht="28.5" customHeight="1" x14ac:dyDescent="0.25">
      <c r="B164" s="42">
        <v>16</v>
      </c>
      <c r="C164" s="48" t="s">
        <v>59</v>
      </c>
      <c r="D164" s="61" t="s">
        <v>97</v>
      </c>
      <c r="E164" s="48">
        <v>80000</v>
      </c>
      <c r="F164" s="43">
        <v>2</v>
      </c>
      <c r="G164" s="48">
        <f t="shared" si="17"/>
        <v>160000</v>
      </c>
      <c r="H164" s="67"/>
    </row>
    <row r="165" spans="2:8" ht="28.5" customHeight="1" x14ac:dyDescent="0.25">
      <c r="B165" s="42">
        <v>17</v>
      </c>
      <c r="C165" s="65" t="s">
        <v>60</v>
      </c>
      <c r="D165" s="61" t="s">
        <v>97</v>
      </c>
      <c r="E165" s="62">
        <v>500000</v>
      </c>
      <c r="F165" s="43">
        <v>2</v>
      </c>
      <c r="G165" s="62">
        <f t="shared" si="17"/>
        <v>1000000</v>
      </c>
      <c r="H165" s="67"/>
    </row>
    <row r="166" spans="2:8" ht="28.5" customHeight="1" x14ac:dyDescent="0.25">
      <c r="B166" s="42">
        <v>18</v>
      </c>
      <c r="C166" s="48" t="s">
        <v>61</v>
      </c>
      <c r="D166" s="61" t="s">
        <v>97</v>
      </c>
      <c r="E166" s="66"/>
      <c r="F166" s="43">
        <v>2</v>
      </c>
      <c r="G166" s="66"/>
      <c r="H166" s="67"/>
    </row>
    <row r="167" spans="2:8" ht="35.450000000000003" customHeight="1" x14ac:dyDescent="0.25">
      <c r="B167" s="56" t="s">
        <v>34</v>
      </c>
      <c r="C167" s="57"/>
      <c r="D167" s="57"/>
      <c r="E167" s="57"/>
      <c r="F167" s="58"/>
      <c r="G167" s="40">
        <f>SUM(G15:G166)</f>
        <v>30020000</v>
      </c>
      <c r="H167" s="40"/>
    </row>
    <row r="168" spans="2:8" ht="35.450000000000003" customHeight="1" x14ac:dyDescent="0.25">
      <c r="B168" s="56" t="s">
        <v>35</v>
      </c>
      <c r="C168" s="57"/>
      <c r="D168" s="57"/>
      <c r="E168" s="57"/>
      <c r="F168" s="58"/>
      <c r="G168" s="40">
        <f>G167*5%</f>
        <v>1501000</v>
      </c>
      <c r="H168" s="41"/>
    </row>
    <row r="169" spans="2:8" ht="46.5" customHeight="1" x14ac:dyDescent="0.25">
      <c r="B169" s="56" t="s">
        <v>19</v>
      </c>
      <c r="C169" s="57"/>
      <c r="D169" s="57"/>
      <c r="E169" s="57"/>
      <c r="F169" s="58"/>
      <c r="G169" s="40">
        <f>G167*1.05</f>
        <v>31521000</v>
      </c>
      <c r="H169" s="41"/>
    </row>
    <row r="170" spans="2:8" ht="48" customHeight="1" x14ac:dyDescent="0.25">
      <c r="B170" s="59" t="s">
        <v>3</v>
      </c>
      <c r="C170" s="59"/>
      <c r="D170" s="19"/>
      <c r="E170" s="19"/>
      <c r="F170" s="20"/>
      <c r="G170" s="19"/>
      <c r="H170" s="19"/>
    </row>
    <row r="171" spans="2:8" ht="25.5" customHeight="1" x14ac:dyDescent="0.3">
      <c r="B171" s="21" t="s">
        <v>4</v>
      </c>
      <c r="C171" s="22"/>
      <c r="D171" s="23"/>
      <c r="E171" s="23"/>
      <c r="F171" s="24"/>
      <c r="G171" s="23"/>
      <c r="H171" s="23"/>
    </row>
    <row r="172" spans="2:8" ht="25.5" customHeight="1" x14ac:dyDescent="0.3">
      <c r="B172" s="21" t="s">
        <v>5</v>
      </c>
      <c r="C172" s="22"/>
      <c r="D172" s="23"/>
      <c r="E172" s="23"/>
      <c r="F172" s="24"/>
      <c r="G172" s="23"/>
      <c r="H172" s="23"/>
    </row>
    <row r="173" spans="2:8" ht="25.5" customHeight="1" x14ac:dyDescent="0.3">
      <c r="B173" s="21" t="s">
        <v>6</v>
      </c>
      <c r="C173" s="22"/>
      <c r="D173" s="23"/>
      <c r="E173" s="23"/>
      <c r="F173" s="24"/>
      <c r="G173" s="23"/>
      <c r="H173" s="23"/>
    </row>
    <row r="174" spans="2:8" ht="25.5" customHeight="1" x14ac:dyDescent="0.3">
      <c r="B174" s="21" t="s">
        <v>7</v>
      </c>
      <c r="C174" s="22"/>
      <c r="D174" s="23"/>
      <c r="E174" s="23"/>
      <c r="F174" s="24"/>
      <c r="G174" s="23"/>
      <c r="H174" s="23"/>
    </row>
    <row r="175" spans="2:8" ht="114.75" customHeight="1" x14ac:dyDescent="0.25">
      <c r="B175" s="22"/>
      <c r="C175" s="51" t="s">
        <v>29</v>
      </c>
      <c r="D175" s="51"/>
      <c r="E175" s="51"/>
      <c r="F175" s="51"/>
      <c r="G175" s="51"/>
      <c r="H175" s="51"/>
    </row>
    <row r="176" spans="2:8" ht="20.25" customHeight="1" x14ac:dyDescent="0.3">
      <c r="B176" s="21" t="s">
        <v>30</v>
      </c>
      <c r="C176" s="22"/>
      <c r="D176" s="23"/>
      <c r="E176" s="23"/>
      <c r="F176" s="24"/>
      <c r="G176" s="23"/>
      <c r="H176" s="23"/>
    </row>
    <row r="177" spans="2:8" ht="20.25" customHeight="1" x14ac:dyDescent="0.3">
      <c r="B177" s="21" t="s">
        <v>8</v>
      </c>
      <c r="C177" s="22"/>
      <c r="D177" s="23"/>
      <c r="E177" s="23"/>
      <c r="F177" s="24"/>
      <c r="G177" s="23"/>
      <c r="H177" s="23"/>
    </row>
    <row r="178" spans="2:8" ht="20.25" customHeight="1" x14ac:dyDescent="0.3">
      <c r="B178" s="21" t="s">
        <v>9</v>
      </c>
      <c r="C178" s="22"/>
      <c r="D178" s="23"/>
      <c r="E178" s="23"/>
      <c r="F178" s="24"/>
      <c r="G178" s="23"/>
      <c r="H178" s="23"/>
    </row>
    <row r="179" spans="2:8" ht="20.25" customHeight="1" x14ac:dyDescent="0.3">
      <c r="B179" s="21" t="s">
        <v>10</v>
      </c>
      <c r="C179" s="23"/>
      <c r="D179" s="23"/>
      <c r="E179" s="23"/>
      <c r="F179" s="24"/>
      <c r="G179" s="23"/>
      <c r="H179" s="23"/>
    </row>
    <row r="180" spans="2:8" ht="20.25" customHeight="1" x14ac:dyDescent="0.3">
      <c r="B180" s="21" t="s">
        <v>11</v>
      </c>
      <c r="C180" s="23"/>
      <c r="D180" s="25"/>
      <c r="E180" s="23"/>
      <c r="F180" s="24"/>
      <c r="G180" s="23"/>
      <c r="H180" s="25"/>
    </row>
    <row r="181" spans="2:8" ht="20.25" customHeight="1" x14ac:dyDescent="0.3">
      <c r="B181" s="21" t="s">
        <v>12</v>
      </c>
      <c r="C181" s="26"/>
      <c r="D181" s="27"/>
      <c r="E181" s="23"/>
      <c r="F181" s="24"/>
      <c r="G181" s="23"/>
      <c r="H181" s="27"/>
    </row>
    <row r="182" spans="2:8" ht="24" customHeight="1" x14ac:dyDescent="0.25">
      <c r="B182" s="28"/>
      <c r="C182" s="29"/>
    </row>
    <row r="183" spans="2:8" ht="34.5" customHeight="1" x14ac:dyDescent="0.3">
      <c r="B183" s="31" t="s">
        <v>13</v>
      </c>
      <c r="F183" s="31" t="s">
        <v>14</v>
      </c>
    </row>
    <row r="184" spans="2:8" ht="34.5" customHeight="1" x14ac:dyDescent="0.3">
      <c r="B184" s="32"/>
      <c r="D184" s="52"/>
      <c r="E184" s="52"/>
      <c r="F184" s="31" t="s">
        <v>20</v>
      </c>
    </row>
    <row r="185" spans="2:8" ht="18.75" customHeight="1" x14ac:dyDescent="0.25">
      <c r="B185" s="33" t="s">
        <v>31</v>
      </c>
      <c r="C185" s="34"/>
    </row>
    <row r="186" spans="2:8" ht="18.75" customHeight="1" x14ac:dyDescent="0.25">
      <c r="B186" s="35" t="s">
        <v>28</v>
      </c>
      <c r="C186" s="34"/>
    </row>
    <row r="187" spans="2:8" ht="18.75" customHeight="1" x14ac:dyDescent="0.25">
      <c r="B187" s="35" t="s">
        <v>32</v>
      </c>
      <c r="C187" s="34"/>
    </row>
    <row r="188" spans="2:8" ht="18.75" customHeight="1" x14ac:dyDescent="0.25">
      <c r="B188" s="35" t="s">
        <v>33</v>
      </c>
      <c r="C188" s="28"/>
    </row>
    <row r="189" spans="2:8" ht="23.25" customHeight="1" x14ac:dyDescent="0.25"/>
    <row r="190" spans="2:8" ht="18.75" customHeight="1" x14ac:dyDescent="0.25">
      <c r="F190" s="33" t="s">
        <v>21</v>
      </c>
    </row>
    <row r="191" spans="2:8" ht="35.450000000000003" customHeight="1" x14ac:dyDescent="0.25"/>
  </sheetData>
  <autoFilter ref="B14:H191" xr:uid="{A70DA845-1C4D-4FF9-B626-89BACF04EC9C}"/>
  <mergeCells count="41">
    <mergeCell ref="E113:E115"/>
    <mergeCell ref="E128:E131"/>
    <mergeCell ref="E165:E166"/>
    <mergeCell ref="G165:G166"/>
    <mergeCell ref="B167:F167"/>
    <mergeCell ref="B168:F168"/>
    <mergeCell ref="B169:F169"/>
    <mergeCell ref="B170:C170"/>
    <mergeCell ref="C175:H175"/>
    <mergeCell ref="D184:E184"/>
    <mergeCell ref="E133:E135"/>
    <mergeCell ref="G133:G135"/>
    <mergeCell ref="E146:E147"/>
    <mergeCell ref="G146:G147"/>
    <mergeCell ref="E150:E152"/>
    <mergeCell ref="G150:G152"/>
    <mergeCell ref="E110:E111"/>
    <mergeCell ref="G110:G111"/>
    <mergeCell ref="E92:E94"/>
    <mergeCell ref="G92:G94"/>
    <mergeCell ref="E89:E90"/>
    <mergeCell ref="G89:G90"/>
    <mergeCell ref="G113:G115"/>
    <mergeCell ref="G128:G131"/>
    <mergeCell ref="E71:E73"/>
    <mergeCell ref="G71:G73"/>
    <mergeCell ref="G48:G51"/>
    <mergeCell ref="E53:E55"/>
    <mergeCell ref="G53:G55"/>
    <mergeCell ref="E67:E68"/>
    <mergeCell ref="G67:G68"/>
    <mergeCell ref="B4:H4"/>
    <mergeCell ref="B10:G10"/>
    <mergeCell ref="B12:H12"/>
    <mergeCell ref="E17:E20"/>
    <mergeCell ref="G17:G20"/>
    <mergeCell ref="E22:E24"/>
    <mergeCell ref="G22:G24"/>
    <mergeCell ref="E38:E39"/>
    <mergeCell ref="G38:G39"/>
    <mergeCell ref="E48:E51"/>
  </mergeCells>
  <dataValidations count="2">
    <dataValidation allowBlank="1" showInputMessage="1" showErrorMessage="1" prompt="Title of this worksheet is in cells B1 through D1" sqref="C1:C3 B4:B10 C9 C5:C7" xr:uid="{C93539CF-9EA4-45A6-92FD-825D585C9065}"/>
    <dataValidation allowBlank="1" showInputMessage="1" showErrorMessage="1" prompt="Create a Home inventory in this workbook. Enter owner, insurance, and inventory details in this worksheet. Total estimated value of all inventory items is automatically calculated" sqref="A1:A10" xr:uid="{955AF94D-A1E8-42C7-8785-88BF834B892E}"/>
  </dataValidations>
  <printOptions horizontalCentered="1"/>
  <pageMargins left="0.11811023622047245" right="0.11811023622047245" top="0.39370078740157483" bottom="0.15748031496062992" header="0.31496062992125984" footer="0.31496062992125984"/>
  <pageSetup paperSize="9" scale="1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LAB08</dc:creator>
  <cp:lastModifiedBy>LAB135</cp:lastModifiedBy>
  <cp:lastPrinted>2024-11-11T09:45:33Z</cp:lastPrinted>
  <dcterms:created xsi:type="dcterms:W3CDTF">2023-03-27T07:22:32Z</dcterms:created>
  <dcterms:modified xsi:type="dcterms:W3CDTF">2025-06-07T11:09:05Z</dcterms:modified>
</cp:coreProperties>
</file>